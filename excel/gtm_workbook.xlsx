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Dashboard" sheetId="2" state="visible" r:id="rId4"/>
    <sheet name="Brands" sheetId="3" state="visible" r:id="rId5"/>
    <sheet name="Sources &amp; Gaps" sheetId="4" state="visible" r:id="rId6"/>
    <sheet name="Positioning" sheetId="5" state="visible" r:id="rId7"/>
    <sheet name="CTA Funnel" sheetId="6" state="visible" r:id="rId8"/>
    <sheet name="Engagement" sheetId="7" state="visible" r:id="rId9"/>
    <sheet name="Metrics" sheetId="8" state="visible" r:id="rId10"/>
    <sheet name="GTM Pla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<sst xmlns="http://schemas.openxmlformats.org/spreadsheetml/2006/main" count="535" uniqueCount="310">
  <si>
    <t xml:space="preserve">Market Intelligence &amp; GTM Dashboard: software engineering services firms</t>
  </si>
  <si>
    <t xml:space="preserve">Public data from each firm's own homepage, accessed 2026-10-12. See Sources &amp; Gaps.</t>
  </si>
  <si>
    <t xml:space="preserve">Blue text = sourced input. Black text = formula. Change an input and every metric updates.</t>
  </si>
  <si>
    <t xml:space="preserve">Wingman Partners itself is NOT in the dataset (its site could not be read). Recommendations are framed for a firm of its type.</t>
  </si>
  <si>
    <t xml:space="preserve">Years, team sizes, ratings and badges are the firms' own claims, not verified data.</t>
  </si>
  <si>
    <t xml:space="preserve">'Not found' = not seen in the homepage text, not proven absent.</t>
  </si>
  <si>
    <t xml:space="preserve">Not collected: traffic, SEO, ads, LinkedIn activity, revenue, win rates. This is a public-homepage benchmark, not market research.</t>
  </si>
  <si>
    <t xml:space="preserve">Market Intelligence &amp; GTM Dashboard (software engineering services)</t>
  </si>
  <si>
    <t xml:space="preserve">Select a brand:</t>
  </si>
  <si>
    <t xml:space="preserve">Simform</t>
  </si>
  <si>
    <t xml:space="preserve">Headline</t>
  </si>
  <si>
    <t xml:space="preserve">Industries listed</t>
  </si>
  <si>
    <t xml:space="preserve">Engagement models named</t>
  </si>
  <si>
    <t xml:space="preserve">Publishes a rate</t>
  </si>
  <si>
    <t xml:space="preserve">Content engine score (0-6)</t>
  </si>
  <si>
    <t xml:space="preserve">Partner badges</t>
  </si>
  <si>
    <t xml:space="preserve">Positioning themes used</t>
  </si>
  <si>
    <t xml:space="preserve">CTA types used</t>
  </si>
  <si>
    <t xml:space="preserve">Market snapshot</t>
  </si>
  <si>
    <t xml:space="preserve">Brands compared</t>
  </si>
  <si>
    <t xml:space="preserve">Headlines AI-led</t>
  </si>
  <si>
    <t xml:space="preserve">Brands publishing a rate</t>
  </si>
  <si>
    <t xml:space="preserve">Call / consult CTA</t>
  </si>
  <si>
    <t xml:space="preserve">Whitepapers: Yes</t>
  </si>
  <si>
    <t xml:space="preserve">brand</t>
  </si>
  <si>
    <t xml:space="preserve">homepage_url</t>
  </si>
  <si>
    <t xml:space="preserve">positioning_h1</t>
  </si>
  <si>
    <t xml:space="preserve">positioning_sub</t>
  </si>
  <si>
    <t xml:space="preserve">vertical_focus</t>
  </si>
  <si>
    <t xml:space="preserve">industries</t>
  </si>
  <si>
    <t xml:space="preserve">engagement_models</t>
  </si>
  <si>
    <t xml:space="preserve">published_rate_text</t>
  </si>
  <si>
    <t xml:space="preserve">rate_low_usd_hr</t>
  </si>
  <si>
    <t xml:space="preserve">rate_high_usd_hr</t>
  </si>
  <si>
    <t xml:space="preserve">primary_ctas</t>
  </si>
  <si>
    <t xml:space="preserve">years_claimed</t>
  </si>
  <si>
    <t xml:space="preserve">team_claimed</t>
  </si>
  <si>
    <t xml:space="preserve">projects_claim_text</t>
  </si>
  <si>
    <t xml:space="preserve">rating_claim</t>
  </si>
  <si>
    <t xml:space="preserve">partner_badges</t>
  </si>
  <si>
    <t xml:space="preserve">compliance_listed</t>
  </si>
  <si>
    <t xml:space="preserve">awards_mentioned</t>
  </si>
  <si>
    <t xml:space="preserve">case_studies</t>
  </si>
  <si>
    <t xml:space="preserve">blog</t>
  </si>
  <si>
    <t xml:space="preserve">whitepapers</t>
  </si>
  <si>
    <t xml:space="preserve">testimonials</t>
  </si>
  <si>
    <t xml:space="preserve">client_logos</t>
  </si>
  <si>
    <t xml:space="preserve">podcast_newsletter</t>
  </si>
  <si>
    <t xml:space="preserve">confidence</t>
  </si>
  <si>
    <t xml:space="preserve">notes</t>
  </si>
  <si>
    <t xml:space="preserve">source_url</t>
  </si>
  <si>
    <t xml:space="preserve">date_accessed</t>
  </si>
  <si>
    <t xml:space="preserve">https://www.simform.com/</t>
  </si>
  <si>
    <t xml:space="preserve">AI-Native Engineering For Digital Products &amp; Enterprise Solutions</t>
  </si>
  <si>
    <t xml:space="preserve">Agile in mind, spirit, and speed</t>
  </si>
  <si>
    <t xml:space="preserve">Financial Services; Healthcare and Life Sciences; Retail and E-commerce; Supply Chain and Logistics; Hi-Tech and Digital Natives</t>
  </si>
  <si>
    <t xml:space="preserve">Services as Software (outcome-aligned commercials)</t>
  </si>
  <si>
    <t xml:space="preserve">Book a Consultation Call; Register Now; Call Us Now; Contact Us</t>
  </si>
  <si>
    <t xml:space="preserve">No company-level count on page; only per-client case-study figures (e.g. 'Serving over 1000 dealerships')</t>
  </si>
  <si>
    <t xml:space="preserve">Microsoft Azure Expert MSP; Microsoft Solutions Partner AI Business Solutions; Snowflake Select Tier; Microsoft Fabric Featured Partner; Anthropic Preferred Services Partner; Databricks Consulting Partner; IBM Silver Partner; AWS; Google Cloud; Advanced Datadog Partner</t>
  </si>
  <si>
    <t xml:space="preserve">CMMI Level 3</t>
  </si>
  <si>
    <t xml:space="preserve">Yes</t>
  </si>
  <si>
    <t xml:space="preserve">High</t>
  </si>
  <si>
    <t xml:space="preserve">Awards listed: Everest Group PEAK Matrix 2026; AIM Research PeMa Quadrant 2026. Also webinars, ebooks, podcast.</t>
  </si>
  <si>
    <t xml:space="preserve">2026-10-12</t>
  </si>
  <si>
    <t xml:space="preserve">Appinventiv</t>
  </si>
  <si>
    <t xml:space="preserve">https://www.appinventiv.com/</t>
  </si>
  <si>
    <t xml:space="preserve">Engineering the Next Generation of Digital Systems with AI</t>
  </si>
  <si>
    <t xml:space="preserve">Appinventiv engineers secure, scalable systems by combining architecture, data engineering, and AI</t>
  </si>
  <si>
    <t xml:space="preserve">Healthcare; Wearables; Fitness; On-Demand; Restaurant; Construction; Politics; eMobility; Logistics; Agriculture; Automotive; Finance; Entertainment; Education; Events; Manufacturing; Energy; OTT; Food Delivery; Supply Chain; Gaming; Ecommerce; Travel; Real Estate; Magazine &amp; Newspaper; Social Media; Aviation; CSR; Retail; Telecom; Startup</t>
  </si>
  <si>
    <t xml:space="preserve">Dedicated Development Team; IT Outsourcing; Offshore Software Development; Managed IT Services</t>
  </si>
  <si>
    <t xml:space="preserve">Consult Our Strategy Team; Schedule Free Consultations; Book Your AI Advisory Session; Consult our Experts for Growth Roadmap; Discuss Your Technology Strategy; Contact Us</t>
  </si>
  <si>
    <t xml:space="preserve">'3000+' Solutions; '150+' AI solutions; '35+' Industries</t>
  </si>
  <si>
    <t xml:space="preserve">OpenAI Select Partner; Claude Preferred Services Partner; AWS Advanced Tier Partner</t>
  </si>
  <si>
    <t xml:space="preserve">GDPR; CCPA; HIPAA; ISO/IEC 27001; PCI DSS; NIST; FedRAMP; EU AI Act; ISO 9001; ISO 22301; ISO 14001; SOX; FTC Safeguards Rule; SOC 2; CSA Cloud Controls Matrix</t>
  </si>
  <si>
    <t xml:space="preserve">Not found</t>
  </si>
  <si>
    <t xml:space="preserve">Page does not say whether the compliance items are certifications or frameworks worked within. Guides and press releases also exist. Team figure is labelled 'Technology Specialists'.</t>
  </si>
  <si>
    <t xml:space="preserve">Hyperlink InfoSystem</t>
  </si>
  <si>
    <t xml:space="preserve">https://www.hyperlinkinfosystem.com/</t>
  </si>
  <si>
    <t xml:space="preserve">Building Tech Future With AI Innovation!</t>
  </si>
  <si>
    <t xml:space="preserve">Top Mobile Application development, Software Development &amp; IT Consulting Company, Building Smart Solutions For A Smarter World.</t>
  </si>
  <si>
    <t xml:space="preserve">Education; Healthcare &amp; Fitness; Fintech; Real Estate; Retail &amp; eCommerce; Travel &amp; Hospitality; Logistics &amp; Distribution; Food &amp; Restaurant; Gaming; Entertainment; On-Demand; Sports; Social Networking</t>
  </si>
  <si>
    <t xml:space="preserve">Fixed Price Model; Hire Dedicated Model (hourly rate); Onsite Model (contract basis)</t>
  </si>
  <si>
    <t xml:space="preserve">Get A Quote; Get A Free Quote; Book A Call; Schedule A Call; Hire Now; Hire Developers; Contact Us</t>
  </si>
  <si>
    <t xml:space="preserve">'4500+' mobile apps; '2200+' websites; 'worked with 2700+ businesses' (a separate banner says '2000+ Businesses')</t>
  </si>
  <si>
    <t xml:space="preserve">4.9 on Clutch.co (self-reported on own site)</t>
  </si>
  <si>
    <t xml:space="preserve">Google; Salesforce; AWS; Oracle</t>
  </si>
  <si>
    <t xml:space="preserve">Awards are '#1 Top App Development Company' badges (self-ranked, image-based). Founded 2011 per page.</t>
  </si>
  <si>
    <t xml:space="preserve">Space-O (healthcare site)</t>
  </si>
  <si>
    <t xml:space="preserve">https://www.spaceo.ai/</t>
  </si>
  <si>
    <t xml:space="preserve">Healthcare Software Development Company for Custom Platforms and Practical AI</t>
  </si>
  <si>
    <t xml:space="preserve">Custom healthcare platforms for hospitals, clinics, health systems, and digital health startups.</t>
  </si>
  <si>
    <t xml:space="preserve">Healthcare</t>
  </si>
  <si>
    <t xml:space="preserve">Hospitals and Health Systems; Multi-Provider Clinics and Practice Groups; Digital Health Startups; Payers and RCM Companies</t>
  </si>
  <si>
    <t xml:space="preserve">Fixed-Scope Healthcare Projects (milestone-based payment, 20-50% upfront); Dedicated Healthcare Development Team (3-15 specialists); Staff Augmentation for Healthcare Engineering (custom pricing)</t>
  </si>
  <si>
    <t xml:space="preserve">'$25-49 per hour' (HIPAA compliance, EHR integration and AI capability); annual maintenance 15-25% of initial build cost</t>
  </si>
  <si>
    <t xml:space="preserve">Book a Discovery Call; View Our Portfolio; Hire EHR software developers; Hire patient portal developers; Read the review on Clutch</t>
  </si>
  <si>
    <t xml:space="preserve">'proven across 50+ healthcare projects since 2010'</t>
  </si>
  <si>
    <t xml:space="preserve">'Clutch rates the team at 4.8 across 75 verified client reviews' (self-reported)</t>
  </si>
  <si>
    <t xml:space="preserve">OpenAI Select Partner; Claude Certified Architect; AWS</t>
  </si>
  <si>
    <t xml:space="preserve">HIPAA; HL7 FHIR R4; GDPR; FDA; SOC 2 Type II</t>
  </si>
  <si>
    <t xml:space="preserve">Medium</t>
  </si>
  <si>
    <t xml:space="preserve">Site calls itself 'Space-O'; the full name 'Space-O Technologies' is not on the page. Team figure is '50+ Healthcare Developers'. Only brand in the set that publishes a rate (seen on two fetches).</t>
  </si>
  <si>
    <t xml:space="preserve">Intellectsoft</t>
  </si>
  <si>
    <t xml:space="preserve">https://www.intellectsoft.net/</t>
  </si>
  <si>
    <t xml:space="preserve">AI-First Software Engineering for Your Business Growth</t>
  </si>
  <si>
    <t xml:space="preserve">Fortune 500 enterprises and startups rely on the company's top 1% talent and AI-driven approach to design, build, and scale digital products.</t>
  </si>
  <si>
    <t xml:space="preserve">Construction; Retail &amp; E-Commerce; Insurance; Transportation &amp; Logistics; FinTech; Healthcare; Travel &amp; Hospitality</t>
  </si>
  <si>
    <t xml:space="preserve">Dedicated Development Teams; Staff Augmentation; Team Extension; MVP Development; Outsourcing; Nearshore</t>
  </si>
  <si>
    <t xml:space="preserve">Estimate Now!; Get in touch; Book a 30-minutes intro call; Schedule a Call; Request an NDA; View case study</t>
  </si>
  <si>
    <t xml:space="preserve">No client count; 12 client logos shown; 'Dedicated team assembled within 2 weeks'; 'reach the market 40% faster'</t>
  </si>
  <si>
    <t xml:space="preserve">AWS; Snowflake; Microsoft Certified Expert; Google Partner; Databricks</t>
  </si>
  <si>
    <t xml:space="preserve">HIPAA Compliant; GDPR Compliant; ISO 9001:2015; ISO 27001</t>
  </si>
  <si>
    <t xml:space="preserve">Years claim comes from the meta description ('19 years of experience'). Page says 'Mid-size by design'. News section exists.</t>
  </si>
  <si>
    <t xml:space="preserve">Netguru</t>
  </si>
  <si>
    <t xml:space="preserve">https://www.netguru.com/</t>
  </si>
  <si>
    <t xml:space="preserve">AI-native commerce</t>
  </si>
  <si>
    <t xml:space="preserve">We power digital commerce with AI-driven platforms, scalable marketplaces, and omnichannel experiences.</t>
  </si>
  <si>
    <t xml:space="preserve">Commerce (primary)</t>
  </si>
  <si>
    <t xml:space="preserve">Commerce; Finance and banking; Healthcare and life science; Education; Proptech</t>
  </si>
  <si>
    <t xml:space="preserve">Dedicated Teams; Staff Augmentation; Delivery Center</t>
  </si>
  <si>
    <t xml:space="preserve">Estimate project; Get in touch; More case studies</t>
  </si>
  <si>
    <t xml:space="preserve">'2500+' projects delivered; NPS '73'</t>
  </si>
  <si>
    <t xml:space="preserve">NPS 73 (self-reported)</t>
  </si>
  <si>
    <t xml:space="preserve">Microsoft; AWS; VTEX; Webflow Premium Partner</t>
  </si>
  <si>
    <t xml:space="preserve">B-Corp; TUV NORD (logos only)</t>
  </si>
  <si>
    <t xml:space="preserve">CONFLICT on page: body says 17+ years and 400+ people; meta description says 'More than 10 years' and 'over 630 developers and designers'. Body figures used. Awards are logos only (Clutch, Inc. 5000, EY, Forbes).</t>
  </si>
  <si>
    <t xml:space="preserve">Thoughtworks</t>
  </si>
  <si>
    <t xml:space="preserve">https://www.thoughtworks.com/</t>
  </si>
  <si>
    <t xml:space="preserve">We don't just do AI. We do AI that works</t>
  </si>
  <si>
    <t xml:space="preserve">Automotive; Public Sector; Energy; Media and Publishing; Retail and E-commerce; Financial Services; Not-for-profit; Travel and Transport; Utilities; Manufacturing and Engineering; Life Sciences and Medtech</t>
  </si>
  <si>
    <t xml:space="preserve">Explore AI/works; Explore our capabilities; View client work; Get in touch; Ask Tai</t>
  </si>
  <si>
    <t xml:space="preserve">No counts on page</t>
  </si>
  <si>
    <t xml:space="preserve">Microsoft; AWS; Google Cloud; Databricks; Snowflake</t>
  </si>
  <si>
    <t xml:space="preserve">Partial</t>
  </si>
  <si>
    <t xml:space="preserve">Single fetch. No subheadline on page, so left blank. 'Client work' items exist but are not labelled case studies; reports and e-books exist; a logo image exists but names are not visible in text. 'Great Place to Work-Certified' shown. Much larger firm than the others.</t>
  </si>
  <si>
    <t xml:space="preserve">item</t>
  </si>
  <si>
    <t xml:space="preserve">what_happened</t>
  </si>
  <si>
    <t xml:space="preserve">how_handled</t>
  </si>
  <si>
    <t xml:space="preserve">Wingman Partners</t>
  </si>
  <si>
    <t xml:space="preserve">Own website is JavaScript-rendered; only the title 'Redefining Engineering Services' was readable.</t>
  </si>
  <si>
    <t xml:space="preserve">Company profile taken from a third-party listing (ZoomInfo: engineering services, 51-200 employees, unverified). Wingman is NOT in the dataset; recommendations are framed for a firm of its type.</t>
  </si>
  <si>
    <t xml:space="preserve">iMOBDEV</t>
  </si>
  <si>
    <t xml:space="preserve">Site disallows automated fetching (robots).</t>
  </si>
  <si>
    <t xml:space="preserve">Excluded. No workaround attempted.</t>
  </si>
  <si>
    <t xml:space="preserve">Fablian Technolab</t>
  </si>
  <si>
    <t xml:space="preserve">Domain redirected to a different site; could not confirm it is the same company.</t>
  </si>
  <si>
    <t xml:space="preserve">Excluded rather than guess.</t>
  </si>
  <si>
    <t xml:space="preserve">All brands</t>
  </si>
  <si>
    <t xml:space="preserve">Only homepages were read, via a page-fetch summarizer.</t>
  </si>
  <si>
    <t xml:space="preserve">'Not found' means not seen in the homepage text, not proven absent. Spot-check quotes against live pages.</t>
  </si>
  <si>
    <t xml:space="preserve">Core stats (years, team, ratings, CTAs) were fetched twice for 5 of 7 brands; Space-O rate fetched twice; Thoughtworks once.</t>
  </si>
  <si>
    <t xml:space="preserve">Confidence column reflects this.</t>
  </si>
  <si>
    <t xml:space="preserve">Pricing</t>
  </si>
  <si>
    <t xml:space="preserve">Only 1 of 7 brands publishes a rate.</t>
  </si>
  <si>
    <t xml:space="preserve">Pricing is analysed as a transparency gap, not a price comparison.</t>
  </si>
  <si>
    <t xml:space="preserve">Page contradicts itself (17+ vs 10+ years; 400+ vs 630 people).</t>
  </si>
  <si>
    <t xml:space="preserve">Body figures used; conflict recorded in notes.</t>
  </si>
  <si>
    <t xml:space="preserve">Page lists 15 compliance frameworks without saying whether certified.</t>
  </si>
  <si>
    <t xml:space="preserve">Stored as 'compliance listed', never counted as certifications.</t>
  </si>
  <si>
    <t xml:space="preserve">Claims</t>
  </si>
  <si>
    <t xml:space="preserve">Ratings, project counts, years and team sizes are the firms' own claims.</t>
  </si>
  <si>
    <t xml:space="preserve">Not verified market data.</t>
  </si>
  <si>
    <t xml:space="preserve">No itemised services, engagement models or subheadline on homepage.</t>
  </si>
  <si>
    <t xml:space="preserve">Left blank.</t>
  </si>
  <si>
    <t xml:space="preserve">Not collected</t>
  </si>
  <si>
    <t xml:space="preserve">Traffic, SEO keywords, ad spend, LinkedIn activity, review-site content, win rates, revenue.</t>
  </si>
  <si>
    <t xml:space="preserve">Out of scope; this is a public-homepage benchmark.</t>
  </si>
  <si>
    <t xml:space="preserve">Themes</t>
  </si>
  <si>
    <t xml:space="preserve">Messaging themes are keyword matches on headline + subheadline (positioning), CTA text, and engagement-model text.</t>
  </si>
  <si>
    <t xml:space="preserve">Rules in src/themes.py, mirrored by Excel formulas.</t>
  </si>
  <si>
    <t xml:space="preserve">Positioning themes (homepage headline + subheadline)</t>
  </si>
  <si>
    <t xml:space="preserve">Text is lower-cased, punctuation replaced by spaces, padded with spaces. 'word' = whole word, 'prefix' = word starts with keyword. Edit the blue keywords to re-run.</t>
  </si>
  <si>
    <t xml:space="preserve">Theme</t>
  </si>
  <si>
    <t xml:space="preserve">Keyword</t>
  </si>
  <si>
    <t xml:space="preserve">Match</t>
  </si>
  <si>
    <t xml:space="preserve">Search needle</t>
  </si>
  <si>
    <t xml:space="preserve">Normalised text</t>
  </si>
  <si>
    <t xml:space="preserve">AI-led</t>
  </si>
  <si>
    <t xml:space="preserve">ai</t>
  </si>
  <si>
    <t xml:space="preserve">word</t>
  </si>
  <si>
    <t xml:space="preserve">agent</t>
  </si>
  <si>
    <t xml:space="preserve">prefix</t>
  </si>
  <si>
    <t xml:space="preserve">Engineering craft</t>
  </si>
  <si>
    <t xml:space="preserve">engineering</t>
  </si>
  <si>
    <t xml:space="preserve">engineers</t>
  </si>
  <si>
    <t xml:space="preserve">Speed &amp; agility</t>
  </si>
  <si>
    <t xml:space="preserve">agile</t>
  </si>
  <si>
    <t xml:space="preserve">speed</t>
  </si>
  <si>
    <t xml:space="preserve">faster</t>
  </si>
  <si>
    <t xml:space="preserve">Scale &amp; security</t>
  </si>
  <si>
    <t xml:space="preserve">scal</t>
  </si>
  <si>
    <t xml:space="preserve">secure</t>
  </si>
  <si>
    <t xml:space="preserve">Business growth</t>
  </si>
  <si>
    <t xml:space="preserve">growth</t>
  </si>
  <si>
    <t xml:space="preserve">business</t>
  </si>
  <si>
    <t xml:space="preserve">Vertical focus</t>
  </si>
  <si>
    <t xml:space="preserve">healthcare</t>
  </si>
  <si>
    <t xml:space="preserve">commerce</t>
  </si>
  <si>
    <t xml:space="preserve">fintech</t>
  </si>
  <si>
    <t xml:space="preserve">Product / digital</t>
  </si>
  <si>
    <t xml:space="preserve">product</t>
  </si>
  <si>
    <t xml:space="preserve">digital</t>
  </si>
  <si>
    <t xml:space="preserve">Credibility claim</t>
  </si>
  <si>
    <t xml:space="preserve">#1</t>
  </si>
  <si>
    <t xml:space="preserve">fortune 500</t>
  </si>
  <si>
    <t xml:space="preserve">top 1</t>
  </si>
  <si>
    <t xml:space="preserve">Theme summary (1 = present)</t>
  </si>
  <si>
    <t xml:space="preserve">Brands using</t>
  </si>
  <si>
    <t xml:space="preserve">Lead-capture CTAs (primary calls to action on the homepage)</t>
  </si>
  <si>
    <t xml:space="preserve">Book a call / consult</t>
  </si>
  <si>
    <t xml:space="preserve">call</t>
  </si>
  <si>
    <t xml:space="preserve">consult</t>
  </si>
  <si>
    <t xml:space="preserve">discovery</t>
  </si>
  <si>
    <t xml:space="preserve">intro</t>
  </si>
  <si>
    <t xml:space="preserve">Get a quote / estimate</t>
  </si>
  <si>
    <t xml:space="preserve">quote</t>
  </si>
  <si>
    <t xml:space="preserve">estimate</t>
  </si>
  <si>
    <t xml:space="preserve">Hire talent</t>
  </si>
  <si>
    <t xml:space="preserve">hire</t>
  </si>
  <si>
    <t xml:space="preserve">Generic contact</t>
  </si>
  <si>
    <t xml:space="preserve">contact</t>
  </si>
  <si>
    <t xml:space="preserve">get in touch</t>
  </si>
  <si>
    <t xml:space="preserve">NDA-first trust</t>
  </si>
  <si>
    <t xml:space="preserve">nda</t>
  </si>
  <si>
    <t xml:space="preserve">Show proof</t>
  </si>
  <si>
    <t xml:space="preserve">portfolio</t>
  </si>
  <si>
    <t xml:space="preserve">case stud</t>
  </si>
  <si>
    <t xml:space="preserve">client work</t>
  </si>
  <si>
    <t xml:space="preserve">review</t>
  </si>
  <si>
    <t xml:space="preserve">Event / webinar</t>
  </si>
  <si>
    <t xml:space="preserve">register</t>
  </si>
  <si>
    <t xml:space="preserve">Engagement models named on the homepage</t>
  </si>
  <si>
    <t xml:space="preserve">Fixed price</t>
  </si>
  <si>
    <t xml:space="preserve">fixed</t>
  </si>
  <si>
    <t xml:space="preserve">Hourly / T&amp;M</t>
  </si>
  <si>
    <t xml:space="preserve">hourly</t>
  </si>
  <si>
    <t xml:space="preserve">Dedicated team</t>
  </si>
  <si>
    <t xml:space="preserve">dedicated</t>
  </si>
  <si>
    <t xml:space="preserve">Staff augmentation</t>
  </si>
  <si>
    <t xml:space="preserve">staff augmentation</t>
  </si>
  <si>
    <t xml:space="preserve">team extension</t>
  </si>
  <si>
    <t xml:space="preserve">Outcome-based</t>
  </si>
  <si>
    <t xml:space="preserve">outcome</t>
  </si>
  <si>
    <t xml:space="preserve">Outsourcing / offshore</t>
  </si>
  <si>
    <t xml:space="preserve">outsourcing</t>
  </si>
  <si>
    <t xml:space="preserve">offshore</t>
  </si>
  <si>
    <t xml:space="preserve">nearshore</t>
  </si>
  <si>
    <t xml:space="preserve">Managed services</t>
  </si>
  <si>
    <t xml:space="preserve">managed</t>
  </si>
  <si>
    <t xml:space="preserve">Per-brand metrics (formulas on Brands sheet)</t>
  </si>
  <si>
    <t xml:space="preserve">Brand</t>
  </si>
  <si>
    <t xml:space="preserve">CTAs listed</t>
  </si>
  <si>
    <t xml:space="preserve">Compliance items listed</t>
  </si>
  <si>
    <t xml:space="preserve">Years claimed</t>
  </si>
  <si>
    <t xml:space="preserve">Team claimed</t>
  </si>
  <si>
    <t xml:space="preserve">Median industries listed</t>
  </si>
  <si>
    <t xml:space="preserve">Median content engine score</t>
  </si>
  <si>
    <t xml:space="preserve">Median partner badges</t>
  </si>
  <si>
    <t xml:space="preserve">GTM recommendations derived from the data (hypotheses to test, not facts)</t>
  </si>
  <si>
    <t xml:space="preserve">Wingman Partners' own site could not be read; these are framed for a software-services firm of its type.</t>
  </si>
  <si>
    <t xml:space="preserve">Key number (live)</t>
  </si>
  <si>
    <t xml:space="preserve">Value</t>
  </si>
  <si>
    <t xml:space="preserve">Headlines naming a vertical</t>
  </si>
  <si>
    <t xml:space="preserve">Quote / estimate CTA</t>
  </si>
  <si>
    <t xml:space="preserve">NDA-first CTA</t>
  </si>
  <si>
    <t xml:space="preserve">Show-proof CTA</t>
  </si>
  <si>
    <t xml:space="preserve">Hire-talent CTA</t>
  </si>
  <si>
    <t xml:space="preserve">Case studies: Yes</t>
  </si>
  <si>
    <t xml:space="preserve">Podcast/newsletter: Yes</t>
  </si>
  <si>
    <t xml:space="preserve">Cite a Clutch rating</t>
  </si>
  <si>
    <t xml:space="preserve">Name a dedicated-team model</t>
  </si>
  <si>
    <t xml:space="preserve">Name a fixed-price model</t>
  </si>
  <si>
    <t xml:space="preserve">Median content score</t>
  </si>
  <si>
    <t xml:space="preserve">Insight</t>
  </si>
  <si>
    <t xml:space="preserve">Evidence (live)</t>
  </si>
  <si>
    <t xml:space="preserve">Recommendation</t>
  </si>
  <si>
    <t xml:space="preserve">Test to run</t>
  </si>
  <si>
    <t xml:space="preserve">Metric</t>
  </si>
  <si>
    <t xml:space="preserve">Caveat</t>
  </si>
  <si>
    <t xml:space="preserve">Positioning: AI is table stakes, a specific outcome or vertical is not</t>
  </si>
  <si>
    <t xml:space="preserve">Do not make 'AI' the whole headline. Lead with the problem solved for one named buyer, with AI as the how.</t>
  </si>
  <si>
    <t xml:space="preserve">A/B two homepage headlines: AI-led vs. outcome/vertical-led.</t>
  </si>
  <si>
    <t xml:space="preserve">Click-through on the main CTA; booked calls per 100 visitors.</t>
  </si>
  <si>
    <t xml:space="preserve">Homepage headline + subheadline only; says nothing about performance.</t>
  </si>
  <si>
    <t xml:space="preserve">Pricing: almost nobody shows a number</t>
  </si>
  <si>
    <t xml:space="preserve">A 'typical engagement' guide (ranges by team size or scope) can act as trust-builder and lead magnet.</t>
  </si>
  <si>
    <t xml:space="preserve">Gated vs. ungated pricing guide.</t>
  </si>
  <si>
    <t xml:space="preserve">Pricing-page visit to qualified-lead rate; sales-accepted lead rate.</t>
  </si>
  <si>
    <t xml:space="preserve">The one published rate belongs to a healthcare-niche vendor; one data point.</t>
  </si>
  <si>
    <t xml:space="preserve">Lead capture: everyone says 'talk to us', few offer a smaller first step</t>
  </si>
  <si>
    <t xml:space="preserve">Add a lower-commitment step beside the call CTA (estimate tool, scoping checklist, NDA-first intake).</t>
  </si>
  <si>
    <t xml:space="preserve">Call CTA only vs. call CTA + estimate/checklist CTA.</t>
  </si>
  <si>
    <t xml:space="preserve">Total leads, and the share that become sales-qualified.</t>
  </si>
  <si>
    <t xml:space="preserve">CTA text read from the homepage; placement and form design not captured.</t>
  </si>
  <si>
    <t xml:space="preserve">Content: case studies are the baseline, deeper assets are rare</t>
  </si>
  <si>
    <t xml:space="preserve">Treat case studies as required. Differentiate with a technical point of view for one niche (gated whitepaper, newsletter).</t>
  </si>
  <si>
    <t xml:space="preserve">Gate one whitepaper behind an email form; promote it on LinkedIn to the target buyer.</t>
  </si>
  <si>
    <t xml:space="preserve">Downloads, cost per lead, lead-to-call rate.</t>
  </si>
  <si>
    <t xml:space="preserve">'Not found' means not seen on the homepage, not proven absent.</t>
  </si>
  <si>
    <t xml:space="preserve">Focus: breadth is the norm, a niche is rare</t>
  </si>
  <si>
    <t xml:space="preserve">Pick one or two verticals as the ideal customer profile and build proof for them.</t>
  </si>
  <si>
    <t xml:space="preserve">Run a vertical-specific landing page against the generic one.</t>
  </si>
  <si>
    <t xml:space="preserve">Conversion by landing page; lead quality by segment.</t>
  </si>
  <si>
    <t xml:space="preserve">Wingman's own verticals are not known; its site could not be read.</t>
  </si>
  <si>
    <t xml:space="preserve">Proof: borrowed credibility is common</t>
  </si>
  <si>
    <t xml:space="preserve">Collect and surface third-party reviews and partner status as trust signals.</t>
  </si>
  <si>
    <t xml:space="preserve">Add review/badge strip near the primary CTA.</t>
  </si>
  <si>
    <t xml:space="preserve">CTA click-through before vs. after.</t>
  </si>
  <si>
    <t xml:space="preserve">Ratings and badges are self-reported on each firm's own site.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</si>
</sst>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sz val="11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engine score (0-6)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Metrics!G3</c:f>
              <c:strCache>
                <c:ptCount val="1"/>
                <c:pt idx="0">
                  <c:v>Content engine score (0-6)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Metrics!$A$4:$A$10</c:f>
              <c:strCache>
                <c:ptCount val="7"/>
                <c:pt idx="0">
                  <c:v>Simform</c:v>
                </c:pt>
                <c:pt idx="1">
                  <c:v>Appinventiv</c:v>
                </c:pt>
                <c:pt idx="2">
                  <c:v>Hyperlink InfoSystem</c:v>
                </c:pt>
                <c:pt idx="3">
                  <c:v>Space-O (healthcare site)</c:v>
                </c:pt>
                <c:pt idx="4">
                  <c:v>Intellectsoft</c:v>
                </c:pt>
                <c:pt idx="5">
                  <c:v>Netguru</c:v>
                </c:pt>
                <c:pt idx="6">
                  <c:v>Thoughtworks</c:v>
                </c:pt>
              </c:strCache>
            </c:strRef>
          </c:cat>
          <c:val>
            <c:numRef>
              <c:f>Metrics!$G$4:$G$10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3.5</c:v>
                </c:pt>
              </c:numCache>
            </c:numRef>
          </c:val>
        </c:ser>
        <c:gapWidth val="150"/>
        <c:overlap val="0"/>
        <c:axId val="59625434"/>
        <c:axId val="55101512"/>
      </c:barChart>
      <c:catAx>
        <c:axId val="59625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01512"/>
        <c:crosses val="autoZero"/>
        <c:auto val="1"/>
        <c:lblAlgn val="ctr"/>
        <c:lblOffset val="100"/>
        <c:noMultiLvlLbl val="0"/>
      </c:catAx>
      <c:valAx>
        <c:axId val="55101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25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Industries listed per firm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Metrics!B3</c:f>
              <c:strCache>
                <c:ptCount val="1"/>
                <c:pt idx="0">
                  <c:v>Industries listed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Metrics!$A$4:$A$10</c:f>
              <c:strCache>
                <c:ptCount val="7"/>
                <c:pt idx="0">
                  <c:v>Simform</c:v>
                </c:pt>
                <c:pt idx="1">
                  <c:v>Appinventiv</c:v>
                </c:pt>
                <c:pt idx="2">
                  <c:v>Hyperlink InfoSystem</c:v>
                </c:pt>
                <c:pt idx="3">
                  <c:v>Space-O (healthcare site)</c:v>
                </c:pt>
                <c:pt idx="4">
                  <c:v>Intellectsoft</c:v>
                </c:pt>
                <c:pt idx="5">
                  <c:v>Netguru</c:v>
                </c:pt>
                <c:pt idx="6">
                  <c:v>Thoughtworks</c:v>
                </c:pt>
              </c:strCache>
            </c:strRef>
          </c:cat>
          <c:val>
            <c:numRef>
              <c:f>Metrics!$B$4:$B$10</c:f>
              <c:numCache>
                <c:formatCode>General</c:formatCode>
                <c:ptCount val="7"/>
                <c:pt idx="0">
                  <c:v>5</c:v>
                </c:pt>
                <c:pt idx="1">
                  <c:v>31</c:v>
                </c:pt>
                <c:pt idx="2">
                  <c:v>13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11</c:v>
                </c:pt>
              </c:numCache>
            </c:numRef>
          </c:val>
        </c:ser>
        <c:gapWidth val="150"/>
        <c:overlap val="0"/>
        <c:axId val="46000506"/>
        <c:axId val="74514705"/>
      </c:barChart>
      <c:catAx>
        <c:axId val="46000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14705"/>
        <c:crosses val="autoZero"/>
        <c:auto val="1"/>
        <c:lblAlgn val="ctr"/>
        <c:lblOffset val="100"/>
        <c:noMultiLvlLbl val="0"/>
      </c:catAx>
      <c:valAx>
        <c:axId val="74514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005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Brands using each positioning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Positioning!$A$27:$A$34</c:f>
              <c:strCache>
                <c:ptCount val="8"/>
                <c:pt idx="0">
                  <c:v>AI-led</c:v>
                </c:pt>
                <c:pt idx="1">
                  <c:v>Engineering craft</c:v>
                </c:pt>
                <c:pt idx="2">
                  <c:v>Speed &amp; agility</c:v>
                </c:pt>
                <c:pt idx="3">
                  <c:v>Scale &amp; security</c:v>
                </c:pt>
                <c:pt idx="4">
                  <c:v>Business growth</c:v>
                </c:pt>
                <c:pt idx="5">
                  <c:v>Vertical focus</c:v>
                </c:pt>
                <c:pt idx="6">
                  <c:v>Product / digital</c:v>
                </c:pt>
                <c:pt idx="7">
                  <c:v>Credibility claim</c:v>
                </c:pt>
              </c:strCache>
            </c:strRef>
          </c:cat>
          <c:val>
            <c:numRef>
              <c:f>Positioning!$D$27:$D$34</c:f>
              <c:numCache>
                <c:formatCode>General</c:formatCode>
                <c:ptCount val="8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59833710"/>
        <c:axId val="76531168"/>
      </c:barChart>
      <c:catAx>
        <c:axId val="59833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31168"/>
        <c:crosses val="autoZero"/>
        <c:auto val="1"/>
        <c:lblAlgn val="ctr"/>
        <c:lblOffset val="100"/>
        <c:noMultiLvlLbl val="0"/>
      </c:catAx>
      <c:valAx>
        <c:axId val="76531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33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Brands using each CTA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'CTA Funnel'!$A$23:$A$29</c:f>
              <c:strCache>
                <c:ptCount val="7"/>
                <c:pt idx="0">
                  <c:v>Book a call / consult</c:v>
                </c:pt>
                <c:pt idx="1">
                  <c:v>Get a quote / estimate</c:v>
                </c:pt>
                <c:pt idx="2">
                  <c:v>Hire talent</c:v>
                </c:pt>
                <c:pt idx="3">
                  <c:v>Generic contact</c:v>
                </c:pt>
                <c:pt idx="4">
                  <c:v>NDA-first trust</c:v>
                </c:pt>
                <c:pt idx="5">
                  <c:v>Show proof</c:v>
                </c:pt>
                <c:pt idx="6">
                  <c:v>Event / webinar</c:v>
                </c:pt>
              </c:strCache>
            </c:strRef>
          </c:cat>
          <c:val>
            <c:numRef>
              <c:f>'CTA Funnel'!$D$23:$D$29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91226739"/>
        <c:axId val="58012456"/>
      </c:barChart>
      <c:catAx>
        <c:axId val="91226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12456"/>
        <c:crosses val="autoZero"/>
        <c:auto val="1"/>
        <c:lblAlgn val="ctr"/>
        <c:lblOffset val="100"/>
        <c:noMultiLvlLbl val="0"/>
      </c:catAx>
      <c:valAx>
        <c:axId val="58012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26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11</xdr:col>
      <xdr:colOff>147600</xdr:colOff>
      <xdr:row>15</xdr:row>
      <xdr:rowOff>173880</xdr:rowOff>
    </xdr:to>
    <xdr:graphicFrame>
      <xdr:nvGraphicFramePr>
        <xdr:cNvPr id="0" name="Chart 1"/>
        <xdr:cNvGraphicFramePr/>
      </xdr:nvGraphicFramePr>
      <xdr:xfrm>
        <a:off x="62503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151560</xdr:rowOff>
    </xdr:from>
    <xdr:to>
      <xdr:col>11</xdr:col>
      <xdr:colOff>147600</xdr:colOff>
      <xdr:row>32</xdr:row>
      <xdr:rowOff>173880</xdr:rowOff>
    </xdr:to>
    <xdr:graphicFrame>
      <xdr:nvGraphicFramePr>
        <xdr:cNvPr id="1" name="Chart 2"/>
        <xdr:cNvGraphicFramePr/>
      </xdr:nvGraphicFramePr>
      <xdr:xfrm>
        <a:off x="62503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34</xdr:row>
      <xdr:rowOff>151920</xdr:rowOff>
    </xdr:from>
    <xdr:to>
      <xdr:col>11</xdr:col>
      <xdr:colOff>147600</xdr:colOff>
      <xdr:row>49</xdr:row>
      <xdr:rowOff>173880</xdr:rowOff>
    </xdr:to>
    <xdr:graphicFrame>
      <xdr:nvGraphicFramePr>
        <xdr:cNvPr id="2" name="Chart 3"/>
        <xdr:cNvGraphicFramePr/>
      </xdr:nvGraphicFramePr>
      <xdr:xfrm>
        <a:off x="6250320" y="685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51</xdr:row>
      <xdr:rowOff>151920</xdr:rowOff>
    </xdr:from>
    <xdr:to>
      <xdr:col>11</xdr:col>
      <xdr:colOff>147600</xdr:colOff>
      <xdr:row>66</xdr:row>
      <xdr:rowOff>173880</xdr:rowOff>
    </xdr:to>
    <xdr:graphicFrame>
      <xdr:nvGraphicFramePr>
        <xdr:cNvPr id="3" name="Chart 4"/>
        <xdr:cNvGraphicFramePr/>
      </xdr:nvGraphicFramePr>
      <xdr:xfrm>
        <a:off x="6250320" y="10096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3" t="s">
        <v>7</v>
      </c>
    </row>
    <row r="3" customFormat="false" ht="15" hidden="false" customHeight="false" outlineLevel="0" collapsed="false">
      <c r="A3" s="4" t="s">
        <v>8</v>
      </c>
      <c r="B3" s="5" t="s">
        <v>9</v>
      </c>
    </row>
    <row r="5" customFormat="false" ht="28.35" hidden="false" customHeight="false" outlineLevel="0" collapsed="false">
      <c r="A5" s="4" t="s">
        <v>10</v>
      </c>
      <c r="B5" s="6" t="str">
        <f aca="false">INDEX(Brands!$C$2:$C$8,MATCH($B$3,Brands!$A$2:$A$8,0))</f>
        <v>AI-Native Engineering For Digital Products &amp; Enterprise Solutions</v>
      </c>
    </row>
    <row r="6" customFormat="false" ht="15" hidden="false" customHeight="false" outlineLevel="0" collapsed="false">
      <c r="A6" s="4" t="s">
        <v>11</v>
      </c>
      <c r="B6" s="6" t="n">
        <f aca="false">INDEX(Metrics!$B$4:$B$10,MATCH($B$3,Metrics!$A$4:$A$10,0))</f>
        <v>5</v>
      </c>
    </row>
    <row r="7" customFormat="false" ht="15" hidden="false" customHeight="false" outlineLevel="0" collapsed="false">
      <c r="A7" s="4" t="s">
        <v>12</v>
      </c>
      <c r="B7" s="6" t="n">
        <f aca="false">INDEX(Metrics!$C$4:$C$10,MATCH($B$3,Metrics!$A$4:$A$10,0))</f>
        <v>1</v>
      </c>
    </row>
    <row r="8" customFormat="false" ht="15" hidden="false" customHeight="false" outlineLevel="0" collapsed="false">
      <c r="A8" s="4" t="s">
        <v>13</v>
      </c>
      <c r="B8" s="6" t="str">
        <f aca="false">INDEX(Metrics!$H$4:$H$10,MATCH($B$3,Metrics!$A$4:$A$10,0))</f>
        <v>No</v>
      </c>
    </row>
    <row r="9" customFormat="false" ht="15" hidden="false" customHeight="false" outlineLevel="0" collapsed="false">
      <c r="A9" s="4" t="s">
        <v>14</v>
      </c>
      <c r="B9" s="6" t="n">
        <f aca="false">INDEX(Metrics!$G$4:$G$10,MATCH($B$3,Metrics!$A$4:$A$10,0))</f>
        <v>6</v>
      </c>
    </row>
    <row r="10" customFormat="false" ht="15" hidden="false" customHeight="false" outlineLevel="0" collapsed="false">
      <c r="A10" s="4" t="s">
        <v>15</v>
      </c>
      <c r="B10" s="6" t="n">
        <f aca="false">INDEX(Metrics!$E$4:$E$10,MATCH($B$3,Metrics!$A$4:$A$10,0))</f>
        <v>10</v>
      </c>
    </row>
    <row r="11" customFormat="false" ht="15" hidden="false" customHeight="false" outlineLevel="0" collapsed="false">
      <c r="A11" s="4" t="s">
        <v>16</v>
      </c>
      <c r="B11" s="6" t="n">
        <f aca="false">SUM(INDEX(Positioning!$E$27:$K$34,0,MATCH($B$3,Positioning!$E$4:$K$4,0)))</f>
        <v>4</v>
      </c>
    </row>
    <row r="12" customFormat="false" ht="15" hidden="false" customHeight="false" outlineLevel="0" collapsed="false">
      <c r="A12" s="4" t="s">
        <v>17</v>
      </c>
      <c r="B12" s="6" t="n">
        <f aca="false">SUM(INDEX('CTA Funnel'!$E$23:$K$29,0,MATCH($B$3,'CTA Funnel'!$E$4:$K$4,0)))</f>
        <v>3</v>
      </c>
    </row>
    <row r="15" customFormat="false" ht="15" hidden="false" customHeight="false" outlineLevel="0" collapsed="false">
      <c r="A15" s="7" t="s">
        <v>18</v>
      </c>
    </row>
    <row r="16" customFormat="false" ht="15" hidden="false" customHeight="false" outlineLevel="0" collapsed="false">
      <c r="A16" s="0" t="s">
        <v>19</v>
      </c>
      <c r="B16" s="0" t="n">
        <f aca="false">'GTM Plan'!B5</f>
        <v>7</v>
      </c>
    </row>
    <row r="17" customFormat="false" ht="15" hidden="false" customHeight="false" outlineLevel="0" collapsed="false">
      <c r="A17" s="0" t="s">
        <v>20</v>
      </c>
      <c r="B17" s="0" t="n">
        <f aca="false">'GTM Plan'!B6</f>
        <v>7</v>
      </c>
    </row>
    <row r="18" customFormat="false" ht="15" hidden="false" customHeight="false" outlineLevel="0" collapsed="false">
      <c r="A18" s="0" t="s">
        <v>21</v>
      </c>
      <c r="B18" s="0" t="n">
        <f aca="false">'GTM Plan'!B8</f>
        <v>1</v>
      </c>
    </row>
    <row r="19" customFormat="false" ht="15" hidden="false" customHeight="false" outlineLevel="0" collapsed="false">
      <c r="A19" s="0" t="s">
        <v>22</v>
      </c>
      <c r="B19" s="0" t="n">
        <f aca="false">'GTM Plan'!B9</f>
        <v>5</v>
      </c>
    </row>
    <row r="20" customFormat="false" ht="15" hidden="false" customHeight="false" outlineLevel="0" collapsed="false">
      <c r="A20" s="0" t="s">
        <v>23</v>
      </c>
      <c r="B20" s="0" t="n">
        <f aca="false">'GTM Plan'!B15</f>
        <v>2</v>
      </c>
    </row>
  </sheetData>
  <dataValidations count="1">
    <dataValidation allowBlank="false" errorStyle="stop" operator="between" showDropDown="false" showErrorMessage="false" showInputMessage="false" sqref="B3" type="list">
      <formula1>Metrics!$A$4:$A$10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7" min="6" style="0" width="40"/>
    <col collapsed="false" customWidth="true" hidden="false" outlineLevel="0" max="8" min="8" style="0" width="30"/>
    <col collapsed="false" customWidth="true" hidden="false" outlineLevel="0" max="10" min="9" style="0" width="18"/>
    <col collapsed="false" customWidth="true" hidden="false" outlineLevel="0" max="11" min="11" style="0" width="40"/>
    <col collapsed="false" customWidth="true" hidden="false" outlineLevel="0" max="13" min="12" style="0" width="18"/>
    <col collapsed="false" customWidth="true" hidden="false" outlineLevel="0" max="14" min="14" style="0" width="40"/>
    <col collapsed="false" customWidth="true" hidden="false" outlineLevel="0" max="15" min="15" style="0" width="24"/>
    <col collapsed="false" customWidth="true" hidden="false" outlineLevel="0" max="16" min="16" style="0" width="36"/>
    <col collapsed="false" customWidth="true" hidden="false" outlineLevel="0" max="17" min="17" style="0" width="30"/>
    <col collapsed="false" customWidth="true" hidden="false" outlineLevel="0" max="25" min="18" style="0" width="18"/>
    <col collapsed="false" customWidth="true" hidden="false" outlineLevel="0" max="26" min="26" style="0" width="50"/>
    <col collapsed="false" customWidth="true" hidden="false" outlineLevel="0" max="27" min="27" style="0" width="30"/>
    <col collapsed="false" customWidth="true" hidden="false" outlineLevel="0" max="28" min="28" style="0" width="18"/>
  </cols>
  <sheetData>
    <row r="1" customFormat="false" ht="15" hidden="false" customHeight="false" outlineLevel="0" collapsed="false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  <c r="X1" s="8" t="s">
        <v>47</v>
      </c>
      <c r="Y1" s="8" t="s">
        <v>48</v>
      </c>
      <c r="Z1" s="8" t="s">
        <v>49</v>
      </c>
      <c r="AA1" s="8" t="s">
        <v>50</v>
      </c>
      <c r="AB1" s="8" t="s">
        <v>51</v>
      </c>
    </row>
    <row r="2" customFormat="false" ht="95.5" hidden="false" customHeight="false" outlineLevel="0" collapsed="false">
      <c r="A2" s="9" t="s">
        <v>9</v>
      </c>
      <c r="B2" s="9" t="s">
        <v>52</v>
      </c>
      <c r="C2" s="9" t="s">
        <v>53</v>
      </c>
      <c r="D2" s="9" t="s">
        <v>54</v>
      </c>
      <c r="E2" s="9"/>
      <c r="F2" s="9" t="s">
        <v>55</v>
      </c>
      <c r="G2" s="9" t="s">
        <v>56</v>
      </c>
      <c r="H2" s="9"/>
      <c r="I2" s="9"/>
      <c r="J2" s="9"/>
      <c r="K2" s="9" t="s">
        <v>57</v>
      </c>
      <c r="L2" s="9"/>
      <c r="M2" s="9"/>
      <c r="N2" s="9" t="s">
        <v>58</v>
      </c>
      <c r="O2" s="9"/>
      <c r="P2" s="9" t="s">
        <v>59</v>
      </c>
      <c r="Q2" s="9" t="s">
        <v>60</v>
      </c>
      <c r="R2" s="9" t="s">
        <v>61</v>
      </c>
      <c r="S2" s="9" t="s">
        <v>61</v>
      </c>
      <c r="T2" s="9" t="s">
        <v>61</v>
      </c>
      <c r="U2" s="9" t="s">
        <v>61</v>
      </c>
      <c r="V2" s="9" t="s">
        <v>61</v>
      </c>
      <c r="W2" s="9" t="s">
        <v>61</v>
      </c>
      <c r="X2" s="9" t="s">
        <v>61</v>
      </c>
      <c r="Y2" s="9" t="s">
        <v>62</v>
      </c>
      <c r="Z2" s="9" t="s">
        <v>63</v>
      </c>
      <c r="AA2" s="9" t="s">
        <v>52</v>
      </c>
      <c r="AB2" s="9" t="s">
        <v>64</v>
      </c>
    </row>
    <row r="3" customFormat="false" ht="108.95" hidden="false" customHeight="false" outlineLevel="0" collapsed="false">
      <c r="A3" s="9" t="s">
        <v>65</v>
      </c>
      <c r="B3" s="9" t="s">
        <v>66</v>
      </c>
      <c r="C3" s="9" t="s">
        <v>67</v>
      </c>
      <c r="D3" s="9" t="s">
        <v>68</v>
      </c>
      <c r="E3" s="9"/>
      <c r="F3" s="9" t="s">
        <v>69</v>
      </c>
      <c r="G3" s="9" t="s">
        <v>70</v>
      </c>
      <c r="H3" s="9"/>
      <c r="I3" s="9"/>
      <c r="J3" s="9"/>
      <c r="K3" s="9" t="s">
        <v>71</v>
      </c>
      <c r="L3" s="9" t="n">
        <v>11</v>
      </c>
      <c r="M3" s="9" t="n">
        <v>1700</v>
      </c>
      <c r="N3" s="9" t="s">
        <v>72</v>
      </c>
      <c r="O3" s="9"/>
      <c r="P3" s="9" t="s">
        <v>73</v>
      </c>
      <c r="Q3" s="9" t="s">
        <v>74</v>
      </c>
      <c r="R3" s="9" t="s">
        <v>61</v>
      </c>
      <c r="S3" s="9" t="s">
        <v>61</v>
      </c>
      <c r="T3" s="9" t="s">
        <v>61</v>
      </c>
      <c r="U3" s="9" t="s">
        <v>75</v>
      </c>
      <c r="V3" s="9" t="s">
        <v>61</v>
      </c>
      <c r="W3" s="9" t="s">
        <v>61</v>
      </c>
      <c r="X3" s="9" t="s">
        <v>75</v>
      </c>
      <c r="Y3" s="9" t="s">
        <v>62</v>
      </c>
      <c r="Z3" s="9" t="s">
        <v>76</v>
      </c>
      <c r="AA3" s="9" t="s">
        <v>66</v>
      </c>
      <c r="AB3" s="9" t="s">
        <v>64</v>
      </c>
    </row>
    <row r="4" customFormat="false" ht="68.65" hidden="false" customHeight="false" outlineLevel="0" collapsed="false">
      <c r="A4" s="9" t="s">
        <v>77</v>
      </c>
      <c r="B4" s="9" t="s">
        <v>78</v>
      </c>
      <c r="C4" s="9" t="s">
        <v>79</v>
      </c>
      <c r="D4" s="9" t="s">
        <v>80</v>
      </c>
      <c r="E4" s="9"/>
      <c r="F4" s="9" t="s">
        <v>81</v>
      </c>
      <c r="G4" s="9" t="s">
        <v>82</v>
      </c>
      <c r="H4" s="9"/>
      <c r="I4" s="9"/>
      <c r="J4" s="9"/>
      <c r="K4" s="9" t="s">
        <v>83</v>
      </c>
      <c r="L4" s="9" t="n">
        <v>14</v>
      </c>
      <c r="M4" s="9" t="n">
        <v>1200</v>
      </c>
      <c r="N4" s="9" t="s">
        <v>84</v>
      </c>
      <c r="O4" s="9" t="s">
        <v>85</v>
      </c>
      <c r="P4" s="9" t="s">
        <v>86</v>
      </c>
      <c r="Q4" s="9" t="s">
        <v>60</v>
      </c>
      <c r="R4" s="9" t="s">
        <v>61</v>
      </c>
      <c r="S4" s="9" t="s">
        <v>61</v>
      </c>
      <c r="T4" s="9" t="s">
        <v>61</v>
      </c>
      <c r="U4" s="9" t="s">
        <v>61</v>
      </c>
      <c r="V4" s="9" t="s">
        <v>61</v>
      </c>
      <c r="W4" s="9" t="s">
        <v>61</v>
      </c>
      <c r="X4" s="9" t="s">
        <v>61</v>
      </c>
      <c r="Y4" s="9" t="s">
        <v>62</v>
      </c>
      <c r="Z4" s="9" t="s">
        <v>87</v>
      </c>
      <c r="AA4" s="9" t="s">
        <v>78</v>
      </c>
      <c r="AB4" s="9" t="s">
        <v>64</v>
      </c>
    </row>
    <row r="5" customFormat="false" ht="68.65" hidden="false" customHeight="false" outlineLevel="0" collapsed="false">
      <c r="A5" s="9" t="s">
        <v>88</v>
      </c>
      <c r="B5" s="9" t="s">
        <v>89</v>
      </c>
      <c r="C5" s="9" t="s">
        <v>90</v>
      </c>
      <c r="D5" s="9" t="s">
        <v>91</v>
      </c>
      <c r="E5" s="9" t="s">
        <v>92</v>
      </c>
      <c r="F5" s="9" t="s">
        <v>93</v>
      </c>
      <c r="G5" s="9" t="s">
        <v>94</v>
      </c>
      <c r="H5" s="9" t="s">
        <v>95</v>
      </c>
      <c r="I5" s="9" t="n">
        <v>25</v>
      </c>
      <c r="J5" s="9" t="n">
        <v>49</v>
      </c>
      <c r="K5" s="9" t="s">
        <v>96</v>
      </c>
      <c r="L5" s="9"/>
      <c r="M5" s="9" t="n">
        <v>50</v>
      </c>
      <c r="N5" s="9" t="s">
        <v>97</v>
      </c>
      <c r="O5" s="9" t="s">
        <v>98</v>
      </c>
      <c r="P5" s="9" t="s">
        <v>99</v>
      </c>
      <c r="Q5" s="9" t="s">
        <v>100</v>
      </c>
      <c r="R5" s="9" t="s">
        <v>75</v>
      </c>
      <c r="S5" s="9" t="s">
        <v>61</v>
      </c>
      <c r="T5" s="9" t="s">
        <v>75</v>
      </c>
      <c r="U5" s="9" t="s">
        <v>75</v>
      </c>
      <c r="V5" s="9" t="s">
        <v>61</v>
      </c>
      <c r="W5" s="9" t="s">
        <v>61</v>
      </c>
      <c r="X5" s="9" t="s">
        <v>75</v>
      </c>
      <c r="Y5" s="9" t="s">
        <v>101</v>
      </c>
      <c r="Z5" s="9" t="s">
        <v>102</v>
      </c>
      <c r="AA5" s="9" t="s">
        <v>89</v>
      </c>
      <c r="AB5" s="9" t="s">
        <v>64</v>
      </c>
    </row>
    <row r="6" customFormat="false" ht="41.75" hidden="false" customHeight="false" outlineLevel="0" collapsed="false">
      <c r="A6" s="9" t="s">
        <v>103</v>
      </c>
      <c r="B6" s="9" t="s">
        <v>104</v>
      </c>
      <c r="C6" s="9" t="s">
        <v>105</v>
      </c>
      <c r="D6" s="9" t="s">
        <v>106</v>
      </c>
      <c r="E6" s="9"/>
      <c r="F6" s="9" t="s">
        <v>107</v>
      </c>
      <c r="G6" s="9" t="s">
        <v>108</v>
      </c>
      <c r="H6" s="9"/>
      <c r="I6" s="9"/>
      <c r="J6" s="9"/>
      <c r="K6" s="9" t="s">
        <v>109</v>
      </c>
      <c r="L6" s="9" t="n">
        <v>19</v>
      </c>
      <c r="M6" s="9"/>
      <c r="N6" s="9" t="s">
        <v>110</v>
      </c>
      <c r="O6" s="9"/>
      <c r="P6" s="9" t="s">
        <v>111</v>
      </c>
      <c r="Q6" s="9" t="s">
        <v>112</v>
      </c>
      <c r="R6" s="9" t="s">
        <v>75</v>
      </c>
      <c r="S6" s="9" t="s">
        <v>61</v>
      </c>
      <c r="T6" s="9" t="s">
        <v>61</v>
      </c>
      <c r="U6" s="9" t="s">
        <v>75</v>
      </c>
      <c r="V6" s="9" t="s">
        <v>61</v>
      </c>
      <c r="W6" s="9" t="s">
        <v>61</v>
      </c>
      <c r="X6" s="9" t="s">
        <v>75</v>
      </c>
      <c r="Y6" s="9" t="s">
        <v>62</v>
      </c>
      <c r="Z6" s="9" t="s">
        <v>113</v>
      </c>
      <c r="AA6" s="9" t="s">
        <v>104</v>
      </c>
      <c r="AB6" s="9" t="s">
        <v>64</v>
      </c>
    </row>
    <row r="7" customFormat="false" ht="55.2" hidden="false" customHeight="false" outlineLevel="0" collapsed="false">
      <c r="A7" s="9" t="s">
        <v>114</v>
      </c>
      <c r="B7" s="9" t="s">
        <v>115</v>
      </c>
      <c r="C7" s="9" t="s">
        <v>116</v>
      </c>
      <c r="D7" s="9" t="s">
        <v>117</v>
      </c>
      <c r="E7" s="9" t="s">
        <v>118</v>
      </c>
      <c r="F7" s="9" t="s">
        <v>119</v>
      </c>
      <c r="G7" s="9" t="s">
        <v>120</v>
      </c>
      <c r="H7" s="9"/>
      <c r="I7" s="9"/>
      <c r="J7" s="9"/>
      <c r="K7" s="9" t="s">
        <v>121</v>
      </c>
      <c r="L7" s="9" t="n">
        <v>17</v>
      </c>
      <c r="M7" s="9" t="n">
        <v>400</v>
      </c>
      <c r="N7" s="9" t="s">
        <v>122</v>
      </c>
      <c r="O7" s="9" t="s">
        <v>123</v>
      </c>
      <c r="P7" s="9" t="s">
        <v>124</v>
      </c>
      <c r="Q7" s="9" t="s">
        <v>125</v>
      </c>
      <c r="R7" s="9" t="s">
        <v>61</v>
      </c>
      <c r="S7" s="9" t="s">
        <v>61</v>
      </c>
      <c r="T7" s="9" t="s">
        <v>61</v>
      </c>
      <c r="U7" s="9" t="s">
        <v>75</v>
      </c>
      <c r="V7" s="9" t="s">
        <v>61</v>
      </c>
      <c r="W7" s="9" t="s">
        <v>61</v>
      </c>
      <c r="X7" s="9" t="s">
        <v>61</v>
      </c>
      <c r="Y7" s="9" t="s">
        <v>101</v>
      </c>
      <c r="Z7" s="9" t="s">
        <v>126</v>
      </c>
      <c r="AA7" s="9" t="s">
        <v>115</v>
      </c>
      <c r="AB7" s="9" t="s">
        <v>64</v>
      </c>
    </row>
    <row r="8" customFormat="false" ht="68.65" hidden="false" customHeight="false" outlineLevel="0" collapsed="false">
      <c r="A8" s="9" t="s">
        <v>127</v>
      </c>
      <c r="B8" s="9" t="s">
        <v>128</v>
      </c>
      <c r="C8" s="9" t="s">
        <v>129</v>
      </c>
      <c r="D8" s="9"/>
      <c r="E8" s="9"/>
      <c r="F8" s="9" t="s">
        <v>130</v>
      </c>
      <c r="G8" s="9"/>
      <c r="H8" s="9"/>
      <c r="I8" s="9"/>
      <c r="J8" s="9"/>
      <c r="K8" s="9" t="s">
        <v>131</v>
      </c>
      <c r="L8" s="9"/>
      <c r="M8" s="9"/>
      <c r="N8" s="9" t="s">
        <v>132</v>
      </c>
      <c r="O8" s="9"/>
      <c r="P8" s="9" t="s">
        <v>133</v>
      </c>
      <c r="Q8" s="9"/>
      <c r="R8" s="9" t="s">
        <v>75</v>
      </c>
      <c r="S8" s="9" t="s">
        <v>134</v>
      </c>
      <c r="T8" s="9" t="s">
        <v>61</v>
      </c>
      <c r="U8" s="9" t="s">
        <v>134</v>
      </c>
      <c r="V8" s="9" t="s">
        <v>75</v>
      </c>
      <c r="W8" s="9" t="s">
        <v>134</v>
      </c>
      <c r="X8" s="9" t="s">
        <v>61</v>
      </c>
      <c r="Y8" s="9" t="s">
        <v>101</v>
      </c>
      <c r="Z8" s="9" t="s">
        <v>135</v>
      </c>
      <c r="AA8" s="9" t="s">
        <v>128</v>
      </c>
      <c r="AB8" s="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70"/>
  </cols>
  <sheetData>
    <row r="1" customFormat="false" ht="15" hidden="false" customHeight="false" outlineLevel="0" collapsed="false">
      <c r="A1" s="8" t="s">
        <v>136</v>
      </c>
      <c r="B1" s="8" t="s">
        <v>137</v>
      </c>
      <c r="C1" s="8" t="s">
        <v>138</v>
      </c>
    </row>
    <row r="2" customFormat="false" ht="41.75" hidden="false" customHeight="false" outlineLevel="0" collapsed="false">
      <c r="A2" s="9" t="s">
        <v>139</v>
      </c>
      <c r="B2" s="9" t="s">
        <v>140</v>
      </c>
      <c r="C2" s="9" t="s">
        <v>141</v>
      </c>
    </row>
    <row r="3" customFormat="false" ht="15" hidden="false" customHeight="false" outlineLevel="0" collapsed="false">
      <c r="A3" s="9" t="s">
        <v>142</v>
      </c>
      <c r="B3" s="9" t="s">
        <v>143</v>
      </c>
      <c r="C3" s="9" t="s">
        <v>144</v>
      </c>
    </row>
    <row r="4" customFormat="false" ht="15" hidden="false" customHeight="false" outlineLevel="0" collapsed="false">
      <c r="A4" s="9" t="s">
        <v>145</v>
      </c>
      <c r="B4" s="9" t="s">
        <v>146</v>
      </c>
      <c r="C4" s="9" t="s">
        <v>147</v>
      </c>
    </row>
    <row r="5" customFormat="false" ht="28.35" hidden="false" customHeight="false" outlineLevel="0" collapsed="false">
      <c r="A5" s="9" t="s">
        <v>148</v>
      </c>
      <c r="B5" s="9" t="s">
        <v>149</v>
      </c>
      <c r="C5" s="9" t="s">
        <v>150</v>
      </c>
    </row>
    <row r="6" customFormat="false" ht="28.35" hidden="false" customHeight="false" outlineLevel="0" collapsed="false">
      <c r="A6" s="9" t="s">
        <v>148</v>
      </c>
      <c r="B6" s="9" t="s">
        <v>151</v>
      </c>
      <c r="C6" s="9" t="s">
        <v>152</v>
      </c>
    </row>
    <row r="7" customFormat="false" ht="15" hidden="false" customHeight="false" outlineLevel="0" collapsed="false">
      <c r="A7" s="9" t="s">
        <v>153</v>
      </c>
      <c r="B7" s="9" t="s">
        <v>154</v>
      </c>
      <c r="C7" s="9" t="s">
        <v>155</v>
      </c>
    </row>
    <row r="8" customFormat="false" ht="15" hidden="false" customHeight="false" outlineLevel="0" collapsed="false">
      <c r="A8" s="9" t="s">
        <v>114</v>
      </c>
      <c r="B8" s="9" t="s">
        <v>156</v>
      </c>
      <c r="C8" s="9" t="s">
        <v>157</v>
      </c>
    </row>
    <row r="9" customFormat="false" ht="15" hidden="false" customHeight="false" outlineLevel="0" collapsed="false">
      <c r="A9" s="9" t="s">
        <v>65</v>
      </c>
      <c r="B9" s="9" t="s">
        <v>158</v>
      </c>
      <c r="C9" s="9" t="s">
        <v>159</v>
      </c>
    </row>
    <row r="10" customFormat="false" ht="15" hidden="false" customHeight="false" outlineLevel="0" collapsed="false">
      <c r="A10" s="9" t="s">
        <v>160</v>
      </c>
      <c r="B10" s="9" t="s">
        <v>161</v>
      </c>
      <c r="C10" s="9" t="s">
        <v>162</v>
      </c>
    </row>
    <row r="11" customFormat="false" ht="15" hidden="false" customHeight="false" outlineLevel="0" collapsed="false">
      <c r="A11" s="9" t="s">
        <v>127</v>
      </c>
      <c r="B11" s="9" t="s">
        <v>163</v>
      </c>
      <c r="C11" s="9" t="s">
        <v>164</v>
      </c>
    </row>
    <row r="12" customFormat="false" ht="28.35" hidden="false" customHeight="false" outlineLevel="0" collapsed="false">
      <c r="A12" s="9" t="s">
        <v>165</v>
      </c>
      <c r="B12" s="9" t="s">
        <v>166</v>
      </c>
      <c r="C12" s="9" t="s">
        <v>167</v>
      </c>
    </row>
    <row r="13" customFormat="false" ht="28.35" hidden="false" customHeight="false" outlineLevel="0" collapsed="false">
      <c r="A13" s="9" t="s">
        <v>168</v>
      </c>
      <c r="B13" s="9" t="s">
        <v>169</v>
      </c>
      <c r="C13" s="9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11" min="5" style="0" width="14"/>
  </cols>
  <sheetData>
    <row r="1" customFormat="false" ht="16.15" hidden="false" customHeight="false" outlineLevel="0" collapsed="false">
      <c r="A1" s="10" t="s">
        <v>171</v>
      </c>
    </row>
    <row r="2" customFormat="false" ht="15" hidden="false" customHeight="false" outlineLevel="0" collapsed="false">
      <c r="A2" s="0" t="s">
        <v>172</v>
      </c>
    </row>
    <row r="4" customFormat="false" ht="41.75" hidden="false" customHeight="false" outlineLevel="0" collapsed="false">
      <c r="A4" s="11" t="s">
        <v>173</v>
      </c>
      <c r="B4" s="11" t="s">
        <v>174</v>
      </c>
      <c r="C4" s="11" t="s">
        <v>175</v>
      </c>
      <c r="D4" s="11" t="s">
        <v>176</v>
      </c>
      <c r="E4" s="11" t="s">
        <v>9</v>
      </c>
      <c r="F4" s="11" t="s">
        <v>65</v>
      </c>
      <c r="G4" s="11" t="s">
        <v>77</v>
      </c>
      <c r="H4" s="11" t="s">
        <v>88</v>
      </c>
      <c r="I4" s="11" t="s">
        <v>103</v>
      </c>
      <c r="J4" s="11" t="s">
        <v>114</v>
      </c>
      <c r="K4" s="11" t="s">
        <v>127</v>
      </c>
    </row>
    <row r="5" customFormat="false" ht="15" hidden="false" customHeight="false" outlineLevel="0" collapsed="false">
      <c r="A5" s="4" t="s">
        <v>177</v>
      </c>
      <c r="E5" s="0" t="str">
        <f aca="false">" "&amp;SUBSTITUTE(SUBSTITUTE(SUBSTITUTE(SUBSTITUTE(SUBSTITUTE(SUBSTITUTE(SUBSTITUTE(SUBSTITUTE(SUBSTITUTE(SUBSTITUTE(SUBSTITUTE(SUBSTITUTE(SUBSTITUTE(SUBSTITUTE(SUBSTITUTE(SUBSTITUTE(LOWER(Brands!$C$2&amp;" "&amp;Brands!$D$2),"-"," "),"."," "),","," "),":"," "),";"," "),"!"," "),"?"," "),"'"," "),""""," "),"’"," "),"—"," "),"/"," "),"("," "),")"," "),"&amp;"," "),"+"," ")&amp;" "</f>
        <v> ai native engineering for digital products   enterprise solutions agile in mind  spirit  and speed </v>
      </c>
      <c r="F5" s="0" t="str">
        <f aca="false">" "&amp;SUBSTITUTE(SUBSTITUTE(SUBSTITUTE(SUBSTITUTE(SUBSTITUTE(SUBSTITUTE(SUBSTITUTE(SUBSTITUTE(SUBSTITUTE(SUBSTITUTE(SUBSTITUTE(SUBSTITUTE(SUBSTITUTE(SUBSTITUTE(SUBSTITUTE(SUBSTITUTE(LOWER(Brands!$C$3&amp;" "&amp;Brands!$D$3),"-"," "),"."," "),","," "),":"," "),";"," "),"!"," "),"?"," "),"'"," "),""""," "),"’"," "),"—"," "),"/"," "),"("," "),")"," "),"&amp;"," "),"+"," ")&amp;" "</f>
        <v> engineering the next generation of digital systems with ai appinventiv engineers secure  scalable systems by combining architecture  data engineering  and ai </v>
      </c>
      <c r="G5" s="0" t="str">
        <f aca="false">" "&amp;SUBSTITUTE(SUBSTITUTE(SUBSTITUTE(SUBSTITUTE(SUBSTITUTE(SUBSTITUTE(SUBSTITUTE(SUBSTITUTE(SUBSTITUTE(SUBSTITUTE(SUBSTITUTE(SUBSTITUTE(SUBSTITUTE(SUBSTITUTE(SUBSTITUTE(SUBSTITUTE(LOWER(Brands!$C$4&amp;" "&amp;Brands!$D$4),"-"," "),"."," "),","," "),":"," "),";"," "),"!"," "),"?"," "),"'"," "),""""," "),"’"," "),"—"," "),"/"," "),"("," "),")"," "),"&amp;"," "),"+"," ")&amp;" "</f>
        <v> building tech future with ai innovation  top mobile application development  software development   it consulting company  building smart solutions for a smarter world  </v>
      </c>
      <c r="H5" s="0" t="str">
        <f aca="false">" "&amp;SUBSTITUTE(SUBSTITUTE(SUBSTITUTE(SUBSTITUTE(SUBSTITUTE(SUBSTITUTE(SUBSTITUTE(SUBSTITUTE(SUBSTITUTE(SUBSTITUTE(SUBSTITUTE(SUBSTITUTE(SUBSTITUTE(SUBSTITUTE(SUBSTITUTE(SUBSTITUTE(LOWER(Brands!$C$5&amp;" "&amp;Brands!$D$5),"-"," "),"."," "),","," "),":"," "),";"," "),"!"," "),"?"," "),"'"," "),""""," "),"’"," "),"—"," "),"/"," "),"("," "),")"," "),"&amp;"," "),"+"," ")&amp;" "</f>
        <v> healthcare software development company for custom platforms and practical ai custom healthcare platforms for hospitals  clinics  health systems  and digital health startups  </v>
      </c>
      <c r="I5" s="0" t="str">
        <f aca="false">" "&amp;SUBSTITUTE(SUBSTITUTE(SUBSTITUTE(SUBSTITUTE(SUBSTITUTE(SUBSTITUTE(SUBSTITUTE(SUBSTITUTE(SUBSTITUTE(SUBSTITUTE(SUBSTITUTE(SUBSTITUTE(SUBSTITUTE(SUBSTITUTE(SUBSTITUTE(SUBSTITUTE(LOWER(Brands!$C$6&amp;" "&amp;Brands!$D$6),"-"," "),"."," "),","," "),":"," "),";"," "),"!"," "),"?"," "),"'"," "),""""," "),"’"," "),"—"," "),"/"," "),"("," "),")"," "),"&amp;"," "),"+"," ")&amp;" "</f>
        <v> ai first software engineering for your business growth fortune 500 enterprises and startups rely on the company s top 1% talent and ai driven approach to design  build  and scale digital products  </v>
      </c>
      <c r="J5" s="0" t="str">
        <f aca="false">" "&amp;SUBSTITUTE(SUBSTITUTE(SUBSTITUTE(SUBSTITUTE(SUBSTITUTE(SUBSTITUTE(SUBSTITUTE(SUBSTITUTE(SUBSTITUTE(SUBSTITUTE(SUBSTITUTE(SUBSTITUTE(SUBSTITUTE(SUBSTITUTE(SUBSTITUTE(SUBSTITUTE(LOWER(Brands!$C$7&amp;" "&amp;Brands!$D$7),"-"," "),"."," "),","," "),":"," "),";"," "),"!"," "),"?"," "),"'"," "),""""," "),"’"," "),"—"," "),"/"," "),"("," "),")"," "),"&amp;"," "),"+"," ")&amp;" "</f>
        <v> ai native commerce we power digital commerce with ai driven platforms  scalable marketplaces  and omnichannel experiences  </v>
      </c>
      <c r="K5" s="0" t="str">
        <f aca="false">" "&amp;SUBSTITUTE(SUBSTITUTE(SUBSTITUTE(SUBSTITUTE(SUBSTITUTE(SUBSTITUTE(SUBSTITUTE(SUBSTITUTE(SUBSTITUTE(SUBSTITUTE(SUBSTITUTE(SUBSTITUTE(SUBSTITUTE(SUBSTITUTE(SUBSTITUTE(SUBSTITUTE(LOWER(Brands!$C$8&amp;" "&amp;Brands!$D$8),"-"," "),"."," "),","," "),":"," "),";"," "),"!"," "),"?"," "),"'"," "),""""," "),"’"," "),"—"," "),"/"," "),"("," "),")"," "),"&amp;"," "),"+"," ")&amp;" "</f>
        <v> we don t just do ai  we do ai that works  </v>
      </c>
    </row>
    <row r="6" customFormat="false" ht="15" hidden="false" customHeight="false" outlineLevel="0" collapsed="false">
      <c r="A6" s="12" t="s">
        <v>178</v>
      </c>
      <c r="B6" s="12" t="s">
        <v>179</v>
      </c>
      <c r="C6" s="12" t="s">
        <v>180</v>
      </c>
      <c r="D6" s="0" t="str">
        <f aca="false">" "&amp;B6&amp;IF(C6="word"," ","")</f>
        <v> ai </v>
      </c>
      <c r="E6" s="13" t="n">
        <f aca="false">IF(B6="",0,IF(ISNUMBER(FIND($D6,E$5)),1,0))</f>
        <v>1</v>
      </c>
      <c r="F6" s="13" t="n">
        <f aca="false">IF(B6="",0,IF(ISNUMBER(FIND($D6,F$5)),1,0))</f>
        <v>1</v>
      </c>
      <c r="G6" s="13" t="n">
        <f aca="false">IF(B6="",0,IF(ISNUMBER(FIND($D6,G$5)),1,0))</f>
        <v>1</v>
      </c>
      <c r="H6" s="13" t="n">
        <f aca="false">IF(B6="",0,IF(ISNUMBER(FIND($D6,H$5)),1,0))</f>
        <v>1</v>
      </c>
      <c r="I6" s="13" t="n">
        <f aca="false">IF(B6="",0,IF(ISNUMBER(FIND($D6,I$5)),1,0))</f>
        <v>1</v>
      </c>
      <c r="J6" s="13" t="n">
        <f aca="false">IF(B6="",0,IF(ISNUMBER(FIND($D6,J$5)),1,0))</f>
        <v>1</v>
      </c>
      <c r="K6" s="13" t="n">
        <f aca="false">IF(B6="",0,IF(ISNUMBER(FIND($D6,K$5)),1,0))</f>
        <v>1</v>
      </c>
    </row>
    <row r="7" customFormat="false" ht="15" hidden="false" customHeight="false" outlineLevel="0" collapsed="false">
      <c r="A7" s="12" t="s">
        <v>178</v>
      </c>
      <c r="B7" s="12" t="s">
        <v>181</v>
      </c>
      <c r="C7" s="12" t="s">
        <v>182</v>
      </c>
      <c r="D7" s="0" t="str">
        <f aca="false">" "&amp;B7&amp;IF(C7="word"," ","")</f>
        <v> agent</v>
      </c>
      <c r="E7" s="13" t="n">
        <f aca="false">IF(B7="",0,IF(ISNUMBER(FIND($D7,E$5)),1,0))</f>
        <v>0</v>
      </c>
      <c r="F7" s="13" t="n">
        <f aca="false">IF(B7="",0,IF(ISNUMBER(FIND($D7,F$5)),1,0))</f>
        <v>0</v>
      </c>
      <c r="G7" s="13" t="n">
        <f aca="false">IF(B7="",0,IF(ISNUMBER(FIND($D7,G$5)),1,0))</f>
        <v>0</v>
      </c>
      <c r="H7" s="13" t="n">
        <f aca="false">IF(B7="",0,IF(ISNUMBER(FIND($D7,H$5)),1,0))</f>
        <v>0</v>
      </c>
      <c r="I7" s="13" t="n">
        <f aca="false">IF(B7="",0,IF(ISNUMBER(FIND($D7,I$5)),1,0))</f>
        <v>0</v>
      </c>
      <c r="J7" s="13" t="n">
        <f aca="false">IF(B7="",0,IF(ISNUMBER(FIND($D7,J$5)),1,0))</f>
        <v>0</v>
      </c>
      <c r="K7" s="13" t="n">
        <f aca="false">IF(B7="",0,IF(ISNUMBER(FIND($D7,K$5)),1,0))</f>
        <v>0</v>
      </c>
    </row>
    <row r="8" customFormat="false" ht="15" hidden="false" customHeight="false" outlineLevel="0" collapsed="false">
      <c r="A8" s="12" t="s">
        <v>183</v>
      </c>
      <c r="B8" s="12" t="s">
        <v>184</v>
      </c>
      <c r="C8" s="12" t="s">
        <v>180</v>
      </c>
      <c r="D8" s="0" t="str">
        <f aca="false">" "&amp;B8&amp;IF(C8="word"," ","")</f>
        <v> engineering </v>
      </c>
      <c r="E8" s="13" t="n">
        <f aca="false">IF(B8="",0,IF(ISNUMBER(FIND($D8,E$5)),1,0))</f>
        <v>1</v>
      </c>
      <c r="F8" s="13" t="n">
        <f aca="false">IF(B8="",0,IF(ISNUMBER(FIND($D8,F$5)),1,0))</f>
        <v>1</v>
      </c>
      <c r="G8" s="13" t="n">
        <f aca="false">IF(B8="",0,IF(ISNUMBER(FIND($D8,G$5)),1,0))</f>
        <v>0</v>
      </c>
      <c r="H8" s="13" t="n">
        <f aca="false">IF(B8="",0,IF(ISNUMBER(FIND($D8,H$5)),1,0))</f>
        <v>0</v>
      </c>
      <c r="I8" s="13" t="n">
        <f aca="false">IF(B8="",0,IF(ISNUMBER(FIND($D8,I$5)),1,0))</f>
        <v>1</v>
      </c>
      <c r="J8" s="13" t="n">
        <f aca="false">IF(B8="",0,IF(ISNUMBER(FIND($D8,J$5)),1,0))</f>
        <v>0</v>
      </c>
      <c r="K8" s="13" t="n">
        <f aca="false">IF(B8="",0,IF(ISNUMBER(FIND($D8,K$5)),1,0))</f>
        <v>0</v>
      </c>
    </row>
    <row r="9" customFormat="false" ht="15" hidden="false" customHeight="false" outlineLevel="0" collapsed="false">
      <c r="A9" s="12" t="s">
        <v>183</v>
      </c>
      <c r="B9" s="12" t="s">
        <v>185</v>
      </c>
      <c r="C9" s="12" t="s">
        <v>180</v>
      </c>
      <c r="D9" s="0" t="str">
        <f aca="false">" "&amp;B9&amp;IF(C9="word"," ","")</f>
        <v> engineers </v>
      </c>
      <c r="E9" s="13" t="n">
        <f aca="false">IF(B9="",0,IF(ISNUMBER(FIND($D9,E$5)),1,0))</f>
        <v>0</v>
      </c>
      <c r="F9" s="13" t="n">
        <f aca="false">IF(B9="",0,IF(ISNUMBER(FIND($D9,F$5)),1,0))</f>
        <v>1</v>
      </c>
      <c r="G9" s="13" t="n">
        <f aca="false">IF(B9="",0,IF(ISNUMBER(FIND($D9,G$5)),1,0))</f>
        <v>0</v>
      </c>
      <c r="H9" s="13" t="n">
        <f aca="false">IF(B9="",0,IF(ISNUMBER(FIND($D9,H$5)),1,0))</f>
        <v>0</v>
      </c>
      <c r="I9" s="13" t="n">
        <f aca="false">IF(B9="",0,IF(ISNUMBER(FIND($D9,I$5)),1,0))</f>
        <v>0</v>
      </c>
      <c r="J9" s="13" t="n">
        <f aca="false">IF(B9="",0,IF(ISNUMBER(FIND($D9,J$5)),1,0))</f>
        <v>0</v>
      </c>
      <c r="K9" s="13" t="n">
        <f aca="false">IF(B9="",0,IF(ISNUMBER(FIND($D9,K$5)),1,0))</f>
        <v>0</v>
      </c>
    </row>
    <row r="10" customFormat="false" ht="15" hidden="false" customHeight="false" outlineLevel="0" collapsed="false">
      <c r="A10" s="12" t="s">
        <v>186</v>
      </c>
      <c r="B10" s="12" t="s">
        <v>187</v>
      </c>
      <c r="C10" s="12" t="s">
        <v>180</v>
      </c>
      <c r="D10" s="0" t="str">
        <f aca="false">" "&amp;B10&amp;IF(C10="word"," ","")</f>
        <v> agile </v>
      </c>
      <c r="E10" s="13" t="n">
        <f aca="false">IF(B10="",0,IF(ISNUMBER(FIND($D10,E$5)),1,0))</f>
        <v>1</v>
      </c>
      <c r="F10" s="13" t="n">
        <f aca="false">IF(B10="",0,IF(ISNUMBER(FIND($D10,F$5)),1,0))</f>
        <v>0</v>
      </c>
      <c r="G10" s="13" t="n">
        <f aca="false">IF(B10="",0,IF(ISNUMBER(FIND($D10,G$5)),1,0))</f>
        <v>0</v>
      </c>
      <c r="H10" s="13" t="n">
        <f aca="false">IF(B10="",0,IF(ISNUMBER(FIND($D10,H$5)),1,0))</f>
        <v>0</v>
      </c>
      <c r="I10" s="13" t="n">
        <f aca="false">IF(B10="",0,IF(ISNUMBER(FIND($D10,I$5)),1,0))</f>
        <v>0</v>
      </c>
      <c r="J10" s="13" t="n">
        <f aca="false">IF(B10="",0,IF(ISNUMBER(FIND($D10,J$5)),1,0))</f>
        <v>0</v>
      </c>
      <c r="K10" s="13" t="n">
        <f aca="false">IF(B10="",0,IF(ISNUMBER(FIND($D10,K$5)),1,0))</f>
        <v>0</v>
      </c>
    </row>
    <row r="11" customFormat="false" ht="15" hidden="false" customHeight="false" outlineLevel="0" collapsed="false">
      <c r="A11" s="12" t="s">
        <v>186</v>
      </c>
      <c r="B11" s="12" t="s">
        <v>188</v>
      </c>
      <c r="C11" s="12" t="s">
        <v>180</v>
      </c>
      <c r="D11" s="0" t="str">
        <f aca="false">" "&amp;B11&amp;IF(C11="word"," ","")</f>
        <v> speed </v>
      </c>
      <c r="E11" s="13" t="n">
        <f aca="false">IF(B11="",0,IF(ISNUMBER(FIND($D11,E$5)),1,0))</f>
        <v>1</v>
      </c>
      <c r="F11" s="13" t="n">
        <f aca="false">IF(B11="",0,IF(ISNUMBER(FIND($D11,F$5)),1,0))</f>
        <v>0</v>
      </c>
      <c r="G11" s="13" t="n">
        <f aca="false">IF(B11="",0,IF(ISNUMBER(FIND($D11,G$5)),1,0))</f>
        <v>0</v>
      </c>
      <c r="H11" s="13" t="n">
        <f aca="false">IF(B11="",0,IF(ISNUMBER(FIND($D11,H$5)),1,0))</f>
        <v>0</v>
      </c>
      <c r="I11" s="13" t="n">
        <f aca="false">IF(B11="",0,IF(ISNUMBER(FIND($D11,I$5)),1,0))</f>
        <v>0</v>
      </c>
      <c r="J11" s="13" t="n">
        <f aca="false">IF(B11="",0,IF(ISNUMBER(FIND($D11,J$5)),1,0))</f>
        <v>0</v>
      </c>
      <c r="K11" s="13" t="n">
        <f aca="false">IF(B11="",0,IF(ISNUMBER(FIND($D11,K$5)),1,0))</f>
        <v>0</v>
      </c>
    </row>
    <row r="12" customFormat="false" ht="15" hidden="false" customHeight="false" outlineLevel="0" collapsed="false">
      <c r="A12" s="12" t="s">
        <v>186</v>
      </c>
      <c r="B12" s="12" t="s">
        <v>189</v>
      </c>
      <c r="C12" s="12" t="s">
        <v>180</v>
      </c>
      <c r="D12" s="0" t="str">
        <f aca="false">" "&amp;B12&amp;IF(C12="word"," ","")</f>
        <v> faster </v>
      </c>
      <c r="E12" s="13" t="n">
        <f aca="false">IF(B12="",0,IF(ISNUMBER(FIND($D12,E$5)),1,0))</f>
        <v>0</v>
      </c>
      <c r="F12" s="13" t="n">
        <f aca="false">IF(B12="",0,IF(ISNUMBER(FIND($D12,F$5)),1,0))</f>
        <v>0</v>
      </c>
      <c r="G12" s="13" t="n">
        <f aca="false">IF(B12="",0,IF(ISNUMBER(FIND($D12,G$5)),1,0))</f>
        <v>0</v>
      </c>
      <c r="H12" s="13" t="n">
        <f aca="false">IF(B12="",0,IF(ISNUMBER(FIND($D12,H$5)),1,0))</f>
        <v>0</v>
      </c>
      <c r="I12" s="13" t="n">
        <f aca="false">IF(B12="",0,IF(ISNUMBER(FIND($D12,I$5)),1,0))</f>
        <v>0</v>
      </c>
      <c r="J12" s="13" t="n">
        <f aca="false">IF(B12="",0,IF(ISNUMBER(FIND($D12,J$5)),1,0))</f>
        <v>0</v>
      </c>
      <c r="K12" s="13" t="n">
        <f aca="false">IF(B12="",0,IF(ISNUMBER(FIND($D12,K$5)),1,0))</f>
        <v>0</v>
      </c>
    </row>
    <row r="13" customFormat="false" ht="15" hidden="false" customHeight="false" outlineLevel="0" collapsed="false">
      <c r="A13" s="12" t="s">
        <v>190</v>
      </c>
      <c r="B13" s="12" t="s">
        <v>191</v>
      </c>
      <c r="C13" s="12" t="s">
        <v>182</v>
      </c>
      <c r="D13" s="0" t="str">
        <f aca="false">" "&amp;B13&amp;IF(C13="word"," ","")</f>
        <v> scal</v>
      </c>
      <c r="E13" s="13" t="n">
        <f aca="false">IF(B13="",0,IF(ISNUMBER(FIND($D13,E$5)),1,0))</f>
        <v>0</v>
      </c>
      <c r="F13" s="13" t="n">
        <f aca="false">IF(B13="",0,IF(ISNUMBER(FIND($D13,F$5)),1,0))</f>
        <v>1</v>
      </c>
      <c r="G13" s="13" t="n">
        <f aca="false">IF(B13="",0,IF(ISNUMBER(FIND($D13,G$5)),1,0))</f>
        <v>0</v>
      </c>
      <c r="H13" s="13" t="n">
        <f aca="false">IF(B13="",0,IF(ISNUMBER(FIND($D13,H$5)),1,0))</f>
        <v>0</v>
      </c>
      <c r="I13" s="13" t="n">
        <f aca="false">IF(B13="",0,IF(ISNUMBER(FIND($D13,I$5)),1,0))</f>
        <v>1</v>
      </c>
      <c r="J13" s="13" t="n">
        <f aca="false">IF(B13="",0,IF(ISNUMBER(FIND($D13,J$5)),1,0))</f>
        <v>1</v>
      </c>
      <c r="K13" s="13" t="n">
        <f aca="false">IF(B13="",0,IF(ISNUMBER(FIND($D13,K$5)),1,0))</f>
        <v>0</v>
      </c>
    </row>
    <row r="14" customFormat="false" ht="15" hidden="false" customHeight="false" outlineLevel="0" collapsed="false">
      <c r="A14" s="12" t="s">
        <v>190</v>
      </c>
      <c r="B14" s="12" t="s">
        <v>192</v>
      </c>
      <c r="C14" s="12" t="s">
        <v>182</v>
      </c>
      <c r="D14" s="0" t="str">
        <f aca="false">" "&amp;B14&amp;IF(C14="word"," ","")</f>
        <v> secure</v>
      </c>
      <c r="E14" s="13" t="n">
        <f aca="false">IF(B14="",0,IF(ISNUMBER(FIND($D14,E$5)),1,0))</f>
        <v>0</v>
      </c>
      <c r="F14" s="13" t="n">
        <f aca="false">IF(B14="",0,IF(ISNUMBER(FIND($D14,F$5)),1,0))</f>
        <v>1</v>
      </c>
      <c r="G14" s="13" t="n">
        <f aca="false">IF(B14="",0,IF(ISNUMBER(FIND($D14,G$5)),1,0))</f>
        <v>0</v>
      </c>
      <c r="H14" s="13" t="n">
        <f aca="false">IF(B14="",0,IF(ISNUMBER(FIND($D14,H$5)),1,0))</f>
        <v>0</v>
      </c>
      <c r="I14" s="13" t="n">
        <f aca="false">IF(B14="",0,IF(ISNUMBER(FIND($D14,I$5)),1,0))</f>
        <v>0</v>
      </c>
      <c r="J14" s="13" t="n">
        <f aca="false">IF(B14="",0,IF(ISNUMBER(FIND($D14,J$5)),1,0))</f>
        <v>0</v>
      </c>
      <c r="K14" s="13" t="n">
        <f aca="false">IF(B14="",0,IF(ISNUMBER(FIND($D14,K$5)),1,0))</f>
        <v>0</v>
      </c>
    </row>
    <row r="15" customFormat="false" ht="15" hidden="false" customHeight="false" outlineLevel="0" collapsed="false">
      <c r="A15" s="12" t="s">
        <v>193</v>
      </c>
      <c r="B15" s="12" t="s">
        <v>194</v>
      </c>
      <c r="C15" s="12" t="s">
        <v>180</v>
      </c>
      <c r="D15" s="0" t="str">
        <f aca="false">" "&amp;B15&amp;IF(C15="word"," ","")</f>
        <v> growth </v>
      </c>
      <c r="E15" s="13" t="n">
        <f aca="false">IF(B15="",0,IF(ISNUMBER(FIND($D15,E$5)),1,0))</f>
        <v>0</v>
      </c>
      <c r="F15" s="13" t="n">
        <f aca="false">IF(B15="",0,IF(ISNUMBER(FIND($D15,F$5)),1,0))</f>
        <v>0</v>
      </c>
      <c r="G15" s="13" t="n">
        <f aca="false">IF(B15="",0,IF(ISNUMBER(FIND($D15,G$5)),1,0))</f>
        <v>0</v>
      </c>
      <c r="H15" s="13" t="n">
        <f aca="false">IF(B15="",0,IF(ISNUMBER(FIND($D15,H$5)),1,0))</f>
        <v>0</v>
      </c>
      <c r="I15" s="13" t="n">
        <f aca="false">IF(B15="",0,IF(ISNUMBER(FIND($D15,I$5)),1,0))</f>
        <v>1</v>
      </c>
      <c r="J15" s="13" t="n">
        <f aca="false">IF(B15="",0,IF(ISNUMBER(FIND($D15,J$5)),1,0))</f>
        <v>0</v>
      </c>
      <c r="K15" s="13" t="n">
        <f aca="false">IF(B15="",0,IF(ISNUMBER(FIND($D15,K$5)),1,0))</f>
        <v>0</v>
      </c>
    </row>
    <row r="16" customFormat="false" ht="15" hidden="false" customHeight="false" outlineLevel="0" collapsed="false">
      <c r="A16" s="12" t="s">
        <v>193</v>
      </c>
      <c r="B16" s="12" t="s">
        <v>195</v>
      </c>
      <c r="C16" s="12" t="s">
        <v>180</v>
      </c>
      <c r="D16" s="0" t="str">
        <f aca="false">" "&amp;B16&amp;IF(C16="word"," ","")</f>
        <v> business </v>
      </c>
      <c r="E16" s="13" t="n">
        <f aca="false">IF(B16="",0,IF(ISNUMBER(FIND($D16,E$5)),1,0))</f>
        <v>0</v>
      </c>
      <c r="F16" s="13" t="n">
        <f aca="false">IF(B16="",0,IF(ISNUMBER(FIND($D16,F$5)),1,0))</f>
        <v>0</v>
      </c>
      <c r="G16" s="13" t="n">
        <f aca="false">IF(B16="",0,IF(ISNUMBER(FIND($D16,G$5)),1,0))</f>
        <v>0</v>
      </c>
      <c r="H16" s="13" t="n">
        <f aca="false">IF(B16="",0,IF(ISNUMBER(FIND($D16,H$5)),1,0))</f>
        <v>0</v>
      </c>
      <c r="I16" s="13" t="n">
        <f aca="false">IF(B16="",0,IF(ISNUMBER(FIND($D16,I$5)),1,0))</f>
        <v>1</v>
      </c>
      <c r="J16" s="13" t="n">
        <f aca="false">IF(B16="",0,IF(ISNUMBER(FIND($D16,J$5)),1,0))</f>
        <v>0</v>
      </c>
      <c r="K16" s="13" t="n">
        <f aca="false">IF(B16="",0,IF(ISNUMBER(FIND($D16,K$5)),1,0))</f>
        <v>0</v>
      </c>
    </row>
    <row r="17" customFormat="false" ht="15" hidden="false" customHeight="false" outlineLevel="0" collapsed="false">
      <c r="A17" s="12" t="s">
        <v>196</v>
      </c>
      <c r="B17" s="12" t="s">
        <v>197</v>
      </c>
      <c r="C17" s="12" t="s">
        <v>180</v>
      </c>
      <c r="D17" s="0" t="str">
        <f aca="false">" "&amp;B17&amp;IF(C17="word"," ","")</f>
        <v> healthcare </v>
      </c>
      <c r="E17" s="13" t="n">
        <f aca="false">IF(B17="",0,IF(ISNUMBER(FIND($D17,E$5)),1,0))</f>
        <v>0</v>
      </c>
      <c r="F17" s="13" t="n">
        <f aca="false">IF(B17="",0,IF(ISNUMBER(FIND($D17,F$5)),1,0))</f>
        <v>0</v>
      </c>
      <c r="G17" s="13" t="n">
        <f aca="false">IF(B17="",0,IF(ISNUMBER(FIND($D17,G$5)),1,0))</f>
        <v>0</v>
      </c>
      <c r="H17" s="13" t="n">
        <f aca="false">IF(B17="",0,IF(ISNUMBER(FIND($D17,H$5)),1,0))</f>
        <v>1</v>
      </c>
      <c r="I17" s="13" t="n">
        <f aca="false">IF(B17="",0,IF(ISNUMBER(FIND($D17,I$5)),1,0))</f>
        <v>0</v>
      </c>
      <c r="J17" s="13" t="n">
        <f aca="false">IF(B17="",0,IF(ISNUMBER(FIND($D17,J$5)),1,0))</f>
        <v>0</v>
      </c>
      <c r="K17" s="13" t="n">
        <f aca="false">IF(B17="",0,IF(ISNUMBER(FIND($D17,K$5)),1,0))</f>
        <v>0</v>
      </c>
    </row>
    <row r="18" customFormat="false" ht="15" hidden="false" customHeight="false" outlineLevel="0" collapsed="false">
      <c r="A18" s="12" t="s">
        <v>196</v>
      </c>
      <c r="B18" s="12" t="s">
        <v>198</v>
      </c>
      <c r="C18" s="12" t="s">
        <v>180</v>
      </c>
      <c r="D18" s="0" t="str">
        <f aca="false">" "&amp;B18&amp;IF(C18="word"," ","")</f>
        <v> commerce </v>
      </c>
      <c r="E18" s="13" t="n">
        <f aca="false">IF(B18="",0,IF(ISNUMBER(FIND($D18,E$5)),1,0))</f>
        <v>0</v>
      </c>
      <c r="F18" s="13" t="n">
        <f aca="false">IF(B18="",0,IF(ISNUMBER(FIND($D18,F$5)),1,0))</f>
        <v>0</v>
      </c>
      <c r="G18" s="13" t="n">
        <f aca="false">IF(B18="",0,IF(ISNUMBER(FIND($D18,G$5)),1,0))</f>
        <v>0</v>
      </c>
      <c r="H18" s="13" t="n">
        <f aca="false">IF(B18="",0,IF(ISNUMBER(FIND($D18,H$5)),1,0))</f>
        <v>0</v>
      </c>
      <c r="I18" s="13" t="n">
        <f aca="false">IF(B18="",0,IF(ISNUMBER(FIND($D18,I$5)),1,0))</f>
        <v>0</v>
      </c>
      <c r="J18" s="13" t="n">
        <f aca="false">IF(B18="",0,IF(ISNUMBER(FIND($D18,J$5)),1,0))</f>
        <v>1</v>
      </c>
      <c r="K18" s="13" t="n">
        <f aca="false">IF(B18="",0,IF(ISNUMBER(FIND($D18,K$5)),1,0))</f>
        <v>0</v>
      </c>
    </row>
    <row r="19" customFormat="false" ht="15" hidden="false" customHeight="false" outlineLevel="0" collapsed="false">
      <c r="A19" s="12" t="s">
        <v>196</v>
      </c>
      <c r="B19" s="12" t="s">
        <v>199</v>
      </c>
      <c r="C19" s="12" t="s">
        <v>180</v>
      </c>
      <c r="D19" s="0" t="str">
        <f aca="false">" "&amp;B19&amp;IF(C19="word"," ","")</f>
        <v> fintech </v>
      </c>
      <c r="E19" s="13" t="n">
        <f aca="false">IF(B19="",0,IF(ISNUMBER(FIND($D19,E$5)),1,0))</f>
        <v>0</v>
      </c>
      <c r="F19" s="13" t="n">
        <f aca="false">IF(B19="",0,IF(ISNUMBER(FIND($D19,F$5)),1,0))</f>
        <v>0</v>
      </c>
      <c r="G19" s="13" t="n">
        <f aca="false">IF(B19="",0,IF(ISNUMBER(FIND($D19,G$5)),1,0))</f>
        <v>0</v>
      </c>
      <c r="H19" s="13" t="n">
        <f aca="false">IF(B19="",0,IF(ISNUMBER(FIND($D19,H$5)),1,0))</f>
        <v>0</v>
      </c>
      <c r="I19" s="13" t="n">
        <f aca="false">IF(B19="",0,IF(ISNUMBER(FIND($D19,I$5)),1,0))</f>
        <v>0</v>
      </c>
      <c r="J19" s="13" t="n">
        <f aca="false">IF(B19="",0,IF(ISNUMBER(FIND($D19,J$5)),1,0))</f>
        <v>0</v>
      </c>
      <c r="K19" s="13" t="n">
        <f aca="false">IF(B19="",0,IF(ISNUMBER(FIND($D19,K$5)),1,0))</f>
        <v>0</v>
      </c>
    </row>
    <row r="20" customFormat="false" ht="15" hidden="false" customHeight="false" outlineLevel="0" collapsed="false">
      <c r="A20" s="12" t="s">
        <v>200</v>
      </c>
      <c r="B20" s="12" t="s">
        <v>201</v>
      </c>
      <c r="C20" s="12" t="s">
        <v>182</v>
      </c>
      <c r="D20" s="0" t="str">
        <f aca="false">" "&amp;B20&amp;IF(C20="word"," ","")</f>
        <v> product</v>
      </c>
      <c r="E20" s="13" t="n">
        <f aca="false">IF(B20="",0,IF(ISNUMBER(FIND($D20,E$5)),1,0))</f>
        <v>1</v>
      </c>
      <c r="F20" s="13" t="n">
        <f aca="false">IF(B20="",0,IF(ISNUMBER(FIND($D20,F$5)),1,0))</f>
        <v>0</v>
      </c>
      <c r="G20" s="13" t="n">
        <f aca="false">IF(B20="",0,IF(ISNUMBER(FIND($D20,G$5)),1,0))</f>
        <v>0</v>
      </c>
      <c r="H20" s="13" t="n">
        <f aca="false">IF(B20="",0,IF(ISNUMBER(FIND($D20,H$5)),1,0))</f>
        <v>0</v>
      </c>
      <c r="I20" s="13" t="n">
        <f aca="false">IF(B20="",0,IF(ISNUMBER(FIND($D20,I$5)),1,0))</f>
        <v>1</v>
      </c>
      <c r="J20" s="13" t="n">
        <f aca="false">IF(B20="",0,IF(ISNUMBER(FIND($D20,J$5)),1,0))</f>
        <v>0</v>
      </c>
      <c r="K20" s="13" t="n">
        <f aca="false">IF(B20="",0,IF(ISNUMBER(FIND($D20,K$5)),1,0))</f>
        <v>0</v>
      </c>
    </row>
    <row r="21" customFormat="false" ht="15" hidden="false" customHeight="false" outlineLevel="0" collapsed="false">
      <c r="A21" s="12" t="s">
        <v>200</v>
      </c>
      <c r="B21" s="12" t="s">
        <v>202</v>
      </c>
      <c r="C21" s="12" t="s">
        <v>180</v>
      </c>
      <c r="D21" s="0" t="str">
        <f aca="false">" "&amp;B21&amp;IF(C21="word"," ","")</f>
        <v> digital </v>
      </c>
      <c r="E21" s="13" t="n">
        <f aca="false">IF(B21="",0,IF(ISNUMBER(FIND($D21,E$5)),1,0))</f>
        <v>1</v>
      </c>
      <c r="F21" s="13" t="n">
        <f aca="false">IF(B21="",0,IF(ISNUMBER(FIND($D21,F$5)),1,0))</f>
        <v>1</v>
      </c>
      <c r="G21" s="13" t="n">
        <f aca="false">IF(B21="",0,IF(ISNUMBER(FIND($D21,G$5)),1,0))</f>
        <v>0</v>
      </c>
      <c r="H21" s="13" t="n">
        <f aca="false">IF(B21="",0,IF(ISNUMBER(FIND($D21,H$5)),1,0))</f>
        <v>1</v>
      </c>
      <c r="I21" s="13" t="n">
        <f aca="false">IF(B21="",0,IF(ISNUMBER(FIND($D21,I$5)),1,0))</f>
        <v>1</v>
      </c>
      <c r="J21" s="13" t="n">
        <f aca="false">IF(B21="",0,IF(ISNUMBER(FIND($D21,J$5)),1,0))</f>
        <v>1</v>
      </c>
      <c r="K21" s="13" t="n">
        <f aca="false">IF(B21="",0,IF(ISNUMBER(FIND($D21,K$5)),1,0))</f>
        <v>0</v>
      </c>
    </row>
    <row r="22" customFormat="false" ht="15" hidden="false" customHeight="false" outlineLevel="0" collapsed="false">
      <c r="A22" s="12" t="s">
        <v>203</v>
      </c>
      <c r="B22" s="12" t="s">
        <v>204</v>
      </c>
      <c r="C22" s="12" t="s">
        <v>182</v>
      </c>
      <c r="D22" s="0" t="str">
        <f aca="false">" "&amp;B22&amp;IF(C22="word"," ","")</f>
        <v> #1</v>
      </c>
      <c r="E22" s="13" t="n">
        <f aca="false">IF(B22="",0,IF(ISNUMBER(FIND($D22,E$5)),1,0))</f>
        <v>0</v>
      </c>
      <c r="F22" s="13" t="n">
        <f aca="false">IF(B22="",0,IF(ISNUMBER(FIND($D22,F$5)),1,0))</f>
        <v>0</v>
      </c>
      <c r="G22" s="13" t="n">
        <f aca="false">IF(B22="",0,IF(ISNUMBER(FIND($D22,G$5)),1,0))</f>
        <v>0</v>
      </c>
      <c r="H22" s="13" t="n">
        <f aca="false">IF(B22="",0,IF(ISNUMBER(FIND($D22,H$5)),1,0))</f>
        <v>0</v>
      </c>
      <c r="I22" s="13" t="n">
        <f aca="false">IF(B22="",0,IF(ISNUMBER(FIND($D22,I$5)),1,0))</f>
        <v>0</v>
      </c>
      <c r="J22" s="13" t="n">
        <f aca="false">IF(B22="",0,IF(ISNUMBER(FIND($D22,J$5)),1,0))</f>
        <v>0</v>
      </c>
      <c r="K22" s="13" t="n">
        <f aca="false">IF(B22="",0,IF(ISNUMBER(FIND($D22,K$5)),1,0))</f>
        <v>0</v>
      </c>
    </row>
    <row r="23" customFormat="false" ht="15" hidden="false" customHeight="false" outlineLevel="0" collapsed="false">
      <c r="A23" s="12" t="s">
        <v>203</v>
      </c>
      <c r="B23" s="12" t="s">
        <v>205</v>
      </c>
      <c r="C23" s="12" t="s">
        <v>182</v>
      </c>
      <c r="D23" s="0" t="str">
        <f aca="false">" "&amp;B23&amp;IF(C23="word"," ","")</f>
        <v> fortune 500</v>
      </c>
      <c r="E23" s="13" t="n">
        <f aca="false">IF(B23="",0,IF(ISNUMBER(FIND($D23,E$5)),1,0))</f>
        <v>0</v>
      </c>
      <c r="F23" s="13" t="n">
        <f aca="false">IF(B23="",0,IF(ISNUMBER(FIND($D23,F$5)),1,0))</f>
        <v>0</v>
      </c>
      <c r="G23" s="13" t="n">
        <f aca="false">IF(B23="",0,IF(ISNUMBER(FIND($D23,G$5)),1,0))</f>
        <v>0</v>
      </c>
      <c r="H23" s="13" t="n">
        <f aca="false">IF(B23="",0,IF(ISNUMBER(FIND($D23,H$5)),1,0))</f>
        <v>0</v>
      </c>
      <c r="I23" s="13" t="n">
        <f aca="false">IF(B23="",0,IF(ISNUMBER(FIND($D23,I$5)),1,0))</f>
        <v>1</v>
      </c>
      <c r="J23" s="13" t="n">
        <f aca="false">IF(B23="",0,IF(ISNUMBER(FIND($D23,J$5)),1,0))</f>
        <v>0</v>
      </c>
      <c r="K23" s="13" t="n">
        <f aca="false">IF(B23="",0,IF(ISNUMBER(FIND($D23,K$5)),1,0))</f>
        <v>0</v>
      </c>
    </row>
    <row r="24" customFormat="false" ht="15" hidden="false" customHeight="false" outlineLevel="0" collapsed="false">
      <c r="A24" s="12" t="s">
        <v>203</v>
      </c>
      <c r="B24" s="12" t="s">
        <v>206</v>
      </c>
      <c r="C24" s="12" t="s">
        <v>182</v>
      </c>
      <c r="D24" s="0" t="str">
        <f aca="false">" "&amp;B24&amp;IF(C24="word"," ","")</f>
        <v> top 1</v>
      </c>
      <c r="E24" s="13" t="n">
        <f aca="false">IF(B24="",0,IF(ISNUMBER(FIND($D24,E$5)),1,0))</f>
        <v>0</v>
      </c>
      <c r="F24" s="13" t="n">
        <f aca="false">IF(B24="",0,IF(ISNUMBER(FIND($D24,F$5)),1,0))</f>
        <v>0</v>
      </c>
      <c r="G24" s="13" t="n">
        <f aca="false">IF(B24="",0,IF(ISNUMBER(FIND($D24,G$5)),1,0))</f>
        <v>0</v>
      </c>
      <c r="H24" s="13" t="n">
        <f aca="false">IF(B24="",0,IF(ISNUMBER(FIND($D24,H$5)),1,0))</f>
        <v>0</v>
      </c>
      <c r="I24" s="13" t="n">
        <f aca="false">IF(B24="",0,IF(ISNUMBER(FIND($D24,I$5)),1,0))</f>
        <v>1</v>
      </c>
      <c r="J24" s="13" t="n">
        <f aca="false">IF(B24="",0,IF(ISNUMBER(FIND($D24,J$5)),1,0))</f>
        <v>0</v>
      </c>
      <c r="K24" s="13" t="n">
        <f aca="false">IF(B24="",0,IF(ISNUMBER(FIND($D24,K$5)),1,0))</f>
        <v>0</v>
      </c>
    </row>
    <row r="26" customFormat="false" ht="41.75" hidden="false" customHeight="false" outlineLevel="0" collapsed="false">
      <c r="A26" s="11" t="s">
        <v>207</v>
      </c>
      <c r="B26" s="11"/>
      <c r="C26" s="11"/>
      <c r="D26" s="11" t="s">
        <v>208</v>
      </c>
      <c r="E26" s="11" t="s">
        <v>9</v>
      </c>
      <c r="F26" s="11" t="s">
        <v>65</v>
      </c>
      <c r="G26" s="11" t="s">
        <v>77</v>
      </c>
      <c r="H26" s="11" t="s">
        <v>88</v>
      </c>
      <c r="I26" s="11" t="s">
        <v>103</v>
      </c>
      <c r="J26" s="11" t="s">
        <v>114</v>
      </c>
      <c r="K26" s="11" t="s">
        <v>127</v>
      </c>
    </row>
    <row r="27" customFormat="false" ht="15" hidden="false" customHeight="false" outlineLevel="0" collapsed="false">
      <c r="A27" s="0" t="s">
        <v>178</v>
      </c>
      <c r="D27" s="0" t="n">
        <f aca="false">SUM(E27:K27)</f>
        <v>7</v>
      </c>
      <c r="E27" s="0" t="n">
        <f aca="false">IF(SUMIF($A$6:$A$24,$A27,E$6:E$24)&gt;0,1,0)</f>
        <v>1</v>
      </c>
      <c r="F27" s="0" t="n">
        <f aca="false">IF(SUMIF($A$6:$A$24,$A27,F$6:F$24)&gt;0,1,0)</f>
        <v>1</v>
      </c>
      <c r="G27" s="0" t="n">
        <f aca="false">IF(SUMIF($A$6:$A$24,$A27,G$6:G$24)&gt;0,1,0)</f>
        <v>1</v>
      </c>
      <c r="H27" s="0" t="n">
        <f aca="false">IF(SUMIF($A$6:$A$24,$A27,H$6:H$24)&gt;0,1,0)</f>
        <v>1</v>
      </c>
      <c r="I27" s="0" t="n">
        <f aca="false">IF(SUMIF($A$6:$A$24,$A27,I$6:I$24)&gt;0,1,0)</f>
        <v>1</v>
      </c>
      <c r="J27" s="0" t="n">
        <f aca="false">IF(SUMIF($A$6:$A$24,$A27,J$6:J$24)&gt;0,1,0)</f>
        <v>1</v>
      </c>
      <c r="K27" s="0" t="n">
        <f aca="false">IF(SUMIF($A$6:$A$24,$A27,K$6:K$24)&gt;0,1,0)</f>
        <v>1</v>
      </c>
    </row>
    <row r="28" customFormat="false" ht="15" hidden="false" customHeight="false" outlineLevel="0" collapsed="false">
      <c r="A28" s="0" t="s">
        <v>183</v>
      </c>
      <c r="D28" s="0" t="n">
        <f aca="false">SUM(E28:K28)</f>
        <v>3</v>
      </c>
      <c r="E28" s="0" t="n">
        <f aca="false">IF(SUMIF($A$6:$A$24,$A28,E$6:E$24)&gt;0,1,0)</f>
        <v>1</v>
      </c>
      <c r="F28" s="0" t="n">
        <f aca="false">IF(SUMIF($A$6:$A$24,$A28,F$6:F$24)&gt;0,1,0)</f>
        <v>1</v>
      </c>
      <c r="G28" s="0" t="n">
        <f aca="false">IF(SUMIF($A$6:$A$24,$A28,G$6:G$24)&gt;0,1,0)</f>
        <v>0</v>
      </c>
      <c r="H28" s="0" t="n">
        <f aca="false">IF(SUMIF($A$6:$A$24,$A28,H$6:H$24)&gt;0,1,0)</f>
        <v>0</v>
      </c>
      <c r="I28" s="0" t="n">
        <f aca="false">IF(SUMIF($A$6:$A$24,$A28,I$6:I$24)&gt;0,1,0)</f>
        <v>1</v>
      </c>
      <c r="J28" s="0" t="n">
        <f aca="false">IF(SUMIF($A$6:$A$24,$A28,J$6:J$24)&gt;0,1,0)</f>
        <v>0</v>
      </c>
      <c r="K28" s="0" t="n">
        <f aca="false">IF(SUMIF($A$6:$A$24,$A28,K$6:K$24)&gt;0,1,0)</f>
        <v>0</v>
      </c>
    </row>
    <row r="29" customFormat="false" ht="15" hidden="false" customHeight="false" outlineLevel="0" collapsed="false">
      <c r="A29" s="0" t="s">
        <v>186</v>
      </c>
      <c r="D29" s="0" t="n">
        <f aca="false">SUM(E29:K29)</f>
        <v>1</v>
      </c>
      <c r="E29" s="0" t="n">
        <f aca="false">IF(SUMIF($A$6:$A$24,$A29,E$6:E$24)&gt;0,1,0)</f>
        <v>1</v>
      </c>
      <c r="F29" s="0" t="n">
        <f aca="false">IF(SUMIF($A$6:$A$24,$A29,F$6:F$24)&gt;0,1,0)</f>
        <v>0</v>
      </c>
      <c r="G29" s="0" t="n">
        <f aca="false">IF(SUMIF($A$6:$A$24,$A29,G$6:G$24)&gt;0,1,0)</f>
        <v>0</v>
      </c>
      <c r="H29" s="0" t="n">
        <f aca="false">IF(SUMIF($A$6:$A$24,$A29,H$6:H$24)&gt;0,1,0)</f>
        <v>0</v>
      </c>
      <c r="I29" s="0" t="n">
        <f aca="false">IF(SUMIF($A$6:$A$24,$A29,I$6:I$24)&gt;0,1,0)</f>
        <v>0</v>
      </c>
      <c r="J29" s="0" t="n">
        <f aca="false">IF(SUMIF($A$6:$A$24,$A29,J$6:J$24)&gt;0,1,0)</f>
        <v>0</v>
      </c>
      <c r="K29" s="0" t="n">
        <f aca="false">IF(SUMIF($A$6:$A$24,$A29,K$6:K$24)&gt;0,1,0)</f>
        <v>0</v>
      </c>
    </row>
    <row r="30" customFormat="false" ht="15" hidden="false" customHeight="false" outlineLevel="0" collapsed="false">
      <c r="A30" s="0" t="s">
        <v>190</v>
      </c>
      <c r="D30" s="0" t="n">
        <f aca="false">SUM(E30:K30)</f>
        <v>3</v>
      </c>
      <c r="E30" s="0" t="n">
        <f aca="false">IF(SUMIF($A$6:$A$24,$A30,E$6:E$24)&gt;0,1,0)</f>
        <v>0</v>
      </c>
      <c r="F30" s="0" t="n">
        <f aca="false">IF(SUMIF($A$6:$A$24,$A30,F$6:F$24)&gt;0,1,0)</f>
        <v>1</v>
      </c>
      <c r="G30" s="0" t="n">
        <f aca="false">IF(SUMIF($A$6:$A$24,$A30,G$6:G$24)&gt;0,1,0)</f>
        <v>0</v>
      </c>
      <c r="H30" s="0" t="n">
        <f aca="false">IF(SUMIF($A$6:$A$24,$A30,H$6:H$24)&gt;0,1,0)</f>
        <v>0</v>
      </c>
      <c r="I30" s="0" t="n">
        <f aca="false">IF(SUMIF($A$6:$A$24,$A30,I$6:I$24)&gt;0,1,0)</f>
        <v>1</v>
      </c>
      <c r="J30" s="0" t="n">
        <f aca="false">IF(SUMIF($A$6:$A$24,$A30,J$6:J$24)&gt;0,1,0)</f>
        <v>1</v>
      </c>
      <c r="K30" s="0" t="n">
        <f aca="false">IF(SUMIF($A$6:$A$24,$A30,K$6:K$24)&gt;0,1,0)</f>
        <v>0</v>
      </c>
    </row>
    <row r="31" customFormat="false" ht="15" hidden="false" customHeight="false" outlineLevel="0" collapsed="false">
      <c r="A31" s="0" t="s">
        <v>193</v>
      </c>
      <c r="D31" s="0" t="n">
        <f aca="false">SUM(E31:K31)</f>
        <v>1</v>
      </c>
      <c r="E31" s="0" t="n">
        <f aca="false">IF(SUMIF($A$6:$A$24,$A31,E$6:E$24)&gt;0,1,0)</f>
        <v>0</v>
      </c>
      <c r="F31" s="0" t="n">
        <f aca="false">IF(SUMIF($A$6:$A$24,$A31,F$6:F$24)&gt;0,1,0)</f>
        <v>0</v>
      </c>
      <c r="G31" s="0" t="n">
        <f aca="false">IF(SUMIF($A$6:$A$24,$A31,G$6:G$24)&gt;0,1,0)</f>
        <v>0</v>
      </c>
      <c r="H31" s="0" t="n">
        <f aca="false">IF(SUMIF($A$6:$A$24,$A31,H$6:H$24)&gt;0,1,0)</f>
        <v>0</v>
      </c>
      <c r="I31" s="0" t="n">
        <f aca="false">IF(SUMIF($A$6:$A$24,$A31,I$6:I$24)&gt;0,1,0)</f>
        <v>1</v>
      </c>
      <c r="J31" s="0" t="n">
        <f aca="false">IF(SUMIF($A$6:$A$24,$A31,J$6:J$24)&gt;0,1,0)</f>
        <v>0</v>
      </c>
      <c r="K31" s="0" t="n">
        <f aca="false">IF(SUMIF($A$6:$A$24,$A31,K$6:K$24)&gt;0,1,0)</f>
        <v>0</v>
      </c>
    </row>
    <row r="32" customFormat="false" ht="15" hidden="false" customHeight="false" outlineLevel="0" collapsed="false">
      <c r="A32" s="0" t="s">
        <v>196</v>
      </c>
      <c r="D32" s="0" t="n">
        <f aca="false">SUM(E32:K32)</f>
        <v>2</v>
      </c>
      <c r="E32" s="0" t="n">
        <f aca="false">IF(SUMIF($A$6:$A$24,$A32,E$6:E$24)&gt;0,1,0)</f>
        <v>0</v>
      </c>
      <c r="F32" s="0" t="n">
        <f aca="false">IF(SUMIF($A$6:$A$24,$A32,F$6:F$24)&gt;0,1,0)</f>
        <v>0</v>
      </c>
      <c r="G32" s="0" t="n">
        <f aca="false">IF(SUMIF($A$6:$A$24,$A32,G$6:G$24)&gt;0,1,0)</f>
        <v>0</v>
      </c>
      <c r="H32" s="0" t="n">
        <f aca="false">IF(SUMIF($A$6:$A$24,$A32,H$6:H$24)&gt;0,1,0)</f>
        <v>1</v>
      </c>
      <c r="I32" s="0" t="n">
        <f aca="false">IF(SUMIF($A$6:$A$24,$A32,I$6:I$24)&gt;0,1,0)</f>
        <v>0</v>
      </c>
      <c r="J32" s="0" t="n">
        <f aca="false">IF(SUMIF($A$6:$A$24,$A32,J$6:J$24)&gt;0,1,0)</f>
        <v>1</v>
      </c>
      <c r="K32" s="0" t="n">
        <f aca="false">IF(SUMIF($A$6:$A$24,$A32,K$6:K$24)&gt;0,1,0)</f>
        <v>0</v>
      </c>
    </row>
    <row r="33" customFormat="false" ht="15" hidden="false" customHeight="false" outlineLevel="0" collapsed="false">
      <c r="A33" s="0" t="s">
        <v>200</v>
      </c>
      <c r="D33" s="0" t="n">
        <f aca="false">SUM(E33:K33)</f>
        <v>5</v>
      </c>
      <c r="E33" s="0" t="n">
        <f aca="false">IF(SUMIF($A$6:$A$24,$A33,E$6:E$24)&gt;0,1,0)</f>
        <v>1</v>
      </c>
      <c r="F33" s="0" t="n">
        <f aca="false">IF(SUMIF($A$6:$A$24,$A33,F$6:F$24)&gt;0,1,0)</f>
        <v>1</v>
      </c>
      <c r="G33" s="0" t="n">
        <f aca="false">IF(SUMIF($A$6:$A$24,$A33,G$6:G$24)&gt;0,1,0)</f>
        <v>0</v>
      </c>
      <c r="H33" s="0" t="n">
        <f aca="false">IF(SUMIF($A$6:$A$24,$A33,H$6:H$24)&gt;0,1,0)</f>
        <v>1</v>
      </c>
      <c r="I33" s="0" t="n">
        <f aca="false">IF(SUMIF($A$6:$A$24,$A33,I$6:I$24)&gt;0,1,0)</f>
        <v>1</v>
      </c>
      <c r="J33" s="0" t="n">
        <f aca="false">IF(SUMIF($A$6:$A$24,$A33,J$6:J$24)&gt;0,1,0)</f>
        <v>1</v>
      </c>
      <c r="K33" s="0" t="n">
        <f aca="false">IF(SUMIF($A$6:$A$24,$A33,K$6:K$24)&gt;0,1,0)</f>
        <v>0</v>
      </c>
    </row>
    <row r="34" customFormat="false" ht="15" hidden="false" customHeight="false" outlineLevel="0" collapsed="false">
      <c r="A34" s="0" t="s">
        <v>203</v>
      </c>
      <c r="D34" s="0" t="n">
        <f aca="false">SUM(E34:K34)</f>
        <v>1</v>
      </c>
      <c r="E34" s="0" t="n">
        <f aca="false">IF(SUMIF($A$6:$A$24,$A34,E$6:E$24)&gt;0,1,0)</f>
        <v>0</v>
      </c>
      <c r="F34" s="0" t="n">
        <f aca="false">IF(SUMIF($A$6:$A$24,$A34,F$6:F$24)&gt;0,1,0)</f>
        <v>0</v>
      </c>
      <c r="G34" s="0" t="n">
        <f aca="false">IF(SUMIF($A$6:$A$24,$A34,G$6:G$24)&gt;0,1,0)</f>
        <v>0</v>
      </c>
      <c r="H34" s="0" t="n">
        <f aca="false">IF(SUMIF($A$6:$A$24,$A34,H$6:H$24)&gt;0,1,0)</f>
        <v>0</v>
      </c>
      <c r="I34" s="0" t="n">
        <f aca="false">IF(SUMIF($A$6:$A$24,$A34,I$6:I$24)&gt;0,1,0)</f>
        <v>1</v>
      </c>
      <c r="J34" s="0" t="n">
        <f aca="false">IF(SUMIF($A$6:$A$24,$A34,J$6:J$24)&gt;0,1,0)</f>
        <v>0</v>
      </c>
      <c r="K34" s="0" t="n">
        <f aca="false">IF(SUMIF($A$6:$A$24,$A34,K$6:K$24)&gt;0,1,0)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11" min="5" style="0" width="14"/>
  </cols>
  <sheetData>
    <row r="1" customFormat="false" ht="16.15" hidden="false" customHeight="false" outlineLevel="0" collapsed="false">
      <c r="A1" s="10" t="s">
        <v>209</v>
      </c>
    </row>
    <row r="2" customFormat="false" ht="15" hidden="false" customHeight="false" outlineLevel="0" collapsed="false">
      <c r="A2" s="0" t="s">
        <v>172</v>
      </c>
    </row>
    <row r="4" customFormat="false" ht="41.75" hidden="false" customHeight="false" outlineLevel="0" collapsed="false">
      <c r="A4" s="11" t="s">
        <v>173</v>
      </c>
      <c r="B4" s="11" t="s">
        <v>174</v>
      </c>
      <c r="C4" s="11" t="s">
        <v>175</v>
      </c>
      <c r="D4" s="11" t="s">
        <v>176</v>
      </c>
      <c r="E4" s="11" t="s">
        <v>9</v>
      </c>
      <c r="F4" s="11" t="s">
        <v>65</v>
      </c>
      <c r="G4" s="11" t="s">
        <v>77</v>
      </c>
      <c r="H4" s="11" t="s">
        <v>88</v>
      </c>
      <c r="I4" s="11" t="s">
        <v>103</v>
      </c>
      <c r="J4" s="11" t="s">
        <v>114</v>
      </c>
      <c r="K4" s="11" t="s">
        <v>127</v>
      </c>
    </row>
    <row r="5" customFormat="false" ht="15" hidden="false" customHeight="false" outlineLevel="0" collapsed="false">
      <c r="A5" s="4" t="s">
        <v>177</v>
      </c>
      <c r="E5" s="0" t="str">
        <f aca="false">" "&amp;SUBSTITUTE(SUBSTITUTE(SUBSTITUTE(SUBSTITUTE(SUBSTITUTE(SUBSTITUTE(SUBSTITUTE(SUBSTITUTE(SUBSTITUTE(SUBSTITUTE(SUBSTITUTE(SUBSTITUTE(SUBSTITUTE(SUBSTITUTE(SUBSTITUTE(SUBSTITUTE(LOWER(Brands!$K$2),"-"," "),"."," "),","," "),":"," "),";"," "),"!"," "),"?"," "),"'"," "),""""," "),"’"," "),"—"," "),"/"," "),"("," "),")"," "),"&amp;"," "),"+"," ")&amp;" "</f>
        <v> book a consultation call  register now  call us now  contact us </v>
      </c>
      <c r="F5" s="0" t="str">
        <f aca="false">" "&amp;SUBSTITUTE(SUBSTITUTE(SUBSTITUTE(SUBSTITUTE(SUBSTITUTE(SUBSTITUTE(SUBSTITUTE(SUBSTITUTE(SUBSTITUTE(SUBSTITUTE(SUBSTITUTE(SUBSTITUTE(SUBSTITUTE(SUBSTITUTE(SUBSTITUTE(SUBSTITUTE(LOWER(Brands!$K$3),"-"," "),"."," "),","," "),":"," "),";"," "),"!"," "),"?"," "),"'"," "),""""," "),"’"," "),"—"," "),"/"," "),"("," "),")"," "),"&amp;"," "),"+"," ")&amp;" "</f>
        <v> consult our strategy team  schedule free consultations  book your ai advisory session  consult our experts for growth roadmap  discuss your technology strategy  contact us </v>
      </c>
      <c r="G5" s="0" t="str">
        <f aca="false">" "&amp;SUBSTITUTE(SUBSTITUTE(SUBSTITUTE(SUBSTITUTE(SUBSTITUTE(SUBSTITUTE(SUBSTITUTE(SUBSTITUTE(SUBSTITUTE(SUBSTITUTE(SUBSTITUTE(SUBSTITUTE(SUBSTITUTE(SUBSTITUTE(SUBSTITUTE(SUBSTITUTE(LOWER(Brands!$K$4),"-"," "),"."," "),","," "),":"," "),";"," "),"!"," "),"?"," "),"'"," "),""""," "),"’"," "),"—"," "),"/"," "),"("," "),")"," "),"&amp;"," "),"+"," ")&amp;" "</f>
        <v> get a quote  get a free quote  book a call  schedule a call  hire now  hire developers  contact us </v>
      </c>
      <c r="H5" s="0" t="str">
        <f aca="false">" "&amp;SUBSTITUTE(SUBSTITUTE(SUBSTITUTE(SUBSTITUTE(SUBSTITUTE(SUBSTITUTE(SUBSTITUTE(SUBSTITUTE(SUBSTITUTE(SUBSTITUTE(SUBSTITUTE(SUBSTITUTE(SUBSTITUTE(SUBSTITUTE(SUBSTITUTE(SUBSTITUTE(LOWER(Brands!$K$5),"-"," "),"."," "),","," "),":"," "),";"," "),"!"," "),"?"," "),"'"," "),""""," "),"’"," "),"—"," "),"/"," "),"("," "),")"," "),"&amp;"," "),"+"," ")&amp;" "</f>
        <v> book a discovery call  view our portfolio  hire ehr software developers  hire patient portal developers  read the review on clutch </v>
      </c>
      <c r="I5" s="0" t="str">
        <f aca="false">" "&amp;SUBSTITUTE(SUBSTITUTE(SUBSTITUTE(SUBSTITUTE(SUBSTITUTE(SUBSTITUTE(SUBSTITUTE(SUBSTITUTE(SUBSTITUTE(SUBSTITUTE(SUBSTITUTE(SUBSTITUTE(SUBSTITUTE(SUBSTITUTE(SUBSTITUTE(SUBSTITUTE(LOWER(Brands!$K$6),"-"," "),"."," "),","," "),":"," "),";"," "),"!"," "),"?"," "),"'"," "),""""," "),"’"," "),"—"," "),"/"," "),"("," "),")"," "),"&amp;"," "),"+"," ")&amp;" "</f>
        <v> estimate now   get in touch  book a 30 minutes intro call  schedule a call  request an nda  view case study </v>
      </c>
      <c r="J5" s="0" t="str">
        <f aca="false">" "&amp;SUBSTITUTE(SUBSTITUTE(SUBSTITUTE(SUBSTITUTE(SUBSTITUTE(SUBSTITUTE(SUBSTITUTE(SUBSTITUTE(SUBSTITUTE(SUBSTITUTE(SUBSTITUTE(SUBSTITUTE(SUBSTITUTE(SUBSTITUTE(SUBSTITUTE(SUBSTITUTE(LOWER(Brands!$K$7),"-"," "),"."," "),","," "),":"," "),";"," "),"!"," "),"?"," "),"'"," "),""""," "),"’"," "),"—"," "),"/"," "),"("," "),")"," "),"&amp;"," "),"+"," ")&amp;" "</f>
        <v> estimate project  get in touch  more case studies </v>
      </c>
      <c r="K5" s="0" t="str">
        <f aca="false">" "&amp;SUBSTITUTE(SUBSTITUTE(SUBSTITUTE(SUBSTITUTE(SUBSTITUTE(SUBSTITUTE(SUBSTITUTE(SUBSTITUTE(SUBSTITUTE(SUBSTITUTE(SUBSTITUTE(SUBSTITUTE(SUBSTITUTE(SUBSTITUTE(SUBSTITUTE(SUBSTITUTE(LOWER(Brands!$K$8),"-"," "),"."," "),","," "),":"," "),";"," "),"!"," "),"?"," "),"'"," "),""""," "),"’"," "),"—"," "),"/"," "),"("," "),")"," "),"&amp;"," "),"+"," ")&amp;" "</f>
        <v> explore ai works  explore our capabilities  view client work  get in touch  ask tai </v>
      </c>
    </row>
    <row r="6" customFormat="false" ht="15" hidden="false" customHeight="false" outlineLevel="0" collapsed="false">
      <c r="A6" s="12" t="s">
        <v>210</v>
      </c>
      <c r="B6" s="12" t="s">
        <v>211</v>
      </c>
      <c r="C6" s="12" t="s">
        <v>180</v>
      </c>
      <c r="D6" s="0" t="str">
        <f aca="false">" "&amp;B6&amp;IF(C6="word"," ","")</f>
        <v> call </v>
      </c>
      <c r="E6" s="13" t="n">
        <f aca="false">IF(B6="",0,IF(ISNUMBER(FIND($D6,E$5)),1,0))</f>
        <v>1</v>
      </c>
      <c r="F6" s="13" t="n">
        <f aca="false">IF(B6="",0,IF(ISNUMBER(FIND($D6,F$5)),1,0))</f>
        <v>0</v>
      </c>
      <c r="G6" s="13" t="n">
        <f aca="false">IF(B6="",0,IF(ISNUMBER(FIND($D6,G$5)),1,0))</f>
        <v>1</v>
      </c>
      <c r="H6" s="13" t="n">
        <f aca="false">IF(B6="",0,IF(ISNUMBER(FIND($D6,H$5)),1,0))</f>
        <v>1</v>
      </c>
      <c r="I6" s="13" t="n">
        <f aca="false">IF(B6="",0,IF(ISNUMBER(FIND($D6,I$5)),1,0))</f>
        <v>1</v>
      </c>
      <c r="J6" s="13" t="n">
        <f aca="false">IF(B6="",0,IF(ISNUMBER(FIND($D6,J$5)),1,0))</f>
        <v>0</v>
      </c>
      <c r="K6" s="13" t="n">
        <f aca="false">IF(B6="",0,IF(ISNUMBER(FIND($D6,K$5)),1,0))</f>
        <v>0</v>
      </c>
    </row>
    <row r="7" customFormat="false" ht="15" hidden="false" customHeight="false" outlineLevel="0" collapsed="false">
      <c r="A7" s="12" t="s">
        <v>210</v>
      </c>
      <c r="B7" s="12" t="s">
        <v>212</v>
      </c>
      <c r="C7" s="12" t="s">
        <v>182</v>
      </c>
      <c r="D7" s="0" t="str">
        <f aca="false">" "&amp;B7&amp;IF(C7="word"," ","")</f>
        <v> consult</v>
      </c>
      <c r="E7" s="13" t="n">
        <f aca="false">IF(B7="",0,IF(ISNUMBER(FIND($D7,E$5)),1,0))</f>
        <v>1</v>
      </c>
      <c r="F7" s="13" t="n">
        <f aca="false">IF(B7="",0,IF(ISNUMBER(FIND($D7,F$5)),1,0))</f>
        <v>1</v>
      </c>
      <c r="G7" s="13" t="n">
        <f aca="false">IF(B7="",0,IF(ISNUMBER(FIND($D7,G$5)),1,0))</f>
        <v>0</v>
      </c>
      <c r="H7" s="13" t="n">
        <f aca="false">IF(B7="",0,IF(ISNUMBER(FIND($D7,H$5)),1,0))</f>
        <v>0</v>
      </c>
      <c r="I7" s="13" t="n">
        <f aca="false">IF(B7="",0,IF(ISNUMBER(FIND($D7,I$5)),1,0))</f>
        <v>0</v>
      </c>
      <c r="J7" s="13" t="n">
        <f aca="false">IF(B7="",0,IF(ISNUMBER(FIND($D7,J$5)),1,0))</f>
        <v>0</v>
      </c>
      <c r="K7" s="13" t="n">
        <f aca="false">IF(B7="",0,IF(ISNUMBER(FIND($D7,K$5)),1,0))</f>
        <v>0</v>
      </c>
    </row>
    <row r="8" customFormat="false" ht="15" hidden="false" customHeight="false" outlineLevel="0" collapsed="false">
      <c r="A8" s="12" t="s">
        <v>210</v>
      </c>
      <c r="B8" s="12" t="s">
        <v>213</v>
      </c>
      <c r="C8" s="12" t="s">
        <v>180</v>
      </c>
      <c r="D8" s="0" t="str">
        <f aca="false">" "&amp;B8&amp;IF(C8="word"," ","")</f>
        <v> discovery </v>
      </c>
      <c r="E8" s="13" t="n">
        <f aca="false">IF(B8="",0,IF(ISNUMBER(FIND($D8,E$5)),1,0))</f>
        <v>0</v>
      </c>
      <c r="F8" s="13" t="n">
        <f aca="false">IF(B8="",0,IF(ISNUMBER(FIND($D8,F$5)),1,0))</f>
        <v>0</v>
      </c>
      <c r="G8" s="13" t="n">
        <f aca="false">IF(B8="",0,IF(ISNUMBER(FIND($D8,G$5)),1,0))</f>
        <v>0</v>
      </c>
      <c r="H8" s="13" t="n">
        <f aca="false">IF(B8="",0,IF(ISNUMBER(FIND($D8,H$5)),1,0))</f>
        <v>1</v>
      </c>
      <c r="I8" s="13" t="n">
        <f aca="false">IF(B8="",0,IF(ISNUMBER(FIND($D8,I$5)),1,0))</f>
        <v>0</v>
      </c>
      <c r="J8" s="13" t="n">
        <f aca="false">IF(B8="",0,IF(ISNUMBER(FIND($D8,J$5)),1,0))</f>
        <v>0</v>
      </c>
      <c r="K8" s="13" t="n">
        <f aca="false">IF(B8="",0,IF(ISNUMBER(FIND($D8,K$5)),1,0))</f>
        <v>0</v>
      </c>
    </row>
    <row r="9" customFormat="false" ht="15" hidden="false" customHeight="false" outlineLevel="0" collapsed="false">
      <c r="A9" s="12" t="s">
        <v>210</v>
      </c>
      <c r="B9" s="12" t="s">
        <v>214</v>
      </c>
      <c r="C9" s="12" t="s">
        <v>180</v>
      </c>
      <c r="D9" s="0" t="str">
        <f aca="false">" "&amp;B9&amp;IF(C9="word"," ","")</f>
        <v> intro </v>
      </c>
      <c r="E9" s="13" t="n">
        <f aca="false">IF(B9="",0,IF(ISNUMBER(FIND($D9,E$5)),1,0))</f>
        <v>0</v>
      </c>
      <c r="F9" s="13" t="n">
        <f aca="false">IF(B9="",0,IF(ISNUMBER(FIND($D9,F$5)),1,0))</f>
        <v>0</v>
      </c>
      <c r="G9" s="13" t="n">
        <f aca="false">IF(B9="",0,IF(ISNUMBER(FIND($D9,G$5)),1,0))</f>
        <v>0</v>
      </c>
      <c r="H9" s="13" t="n">
        <f aca="false">IF(B9="",0,IF(ISNUMBER(FIND($D9,H$5)),1,0))</f>
        <v>0</v>
      </c>
      <c r="I9" s="13" t="n">
        <f aca="false">IF(B9="",0,IF(ISNUMBER(FIND($D9,I$5)),1,0))</f>
        <v>1</v>
      </c>
      <c r="J9" s="13" t="n">
        <f aca="false">IF(B9="",0,IF(ISNUMBER(FIND($D9,J$5)),1,0))</f>
        <v>0</v>
      </c>
      <c r="K9" s="13" t="n">
        <f aca="false">IF(B9="",0,IF(ISNUMBER(FIND($D9,K$5)),1,0))</f>
        <v>0</v>
      </c>
    </row>
    <row r="10" customFormat="false" ht="15" hidden="false" customHeight="false" outlineLevel="0" collapsed="false">
      <c r="A10" s="12" t="s">
        <v>215</v>
      </c>
      <c r="B10" s="12" t="s">
        <v>216</v>
      </c>
      <c r="C10" s="12" t="s">
        <v>180</v>
      </c>
      <c r="D10" s="0" t="str">
        <f aca="false">" "&amp;B10&amp;IF(C10="word"," ","")</f>
        <v> quote </v>
      </c>
      <c r="E10" s="13" t="n">
        <f aca="false">IF(B10="",0,IF(ISNUMBER(FIND($D10,E$5)),1,0))</f>
        <v>0</v>
      </c>
      <c r="F10" s="13" t="n">
        <f aca="false">IF(B10="",0,IF(ISNUMBER(FIND($D10,F$5)),1,0))</f>
        <v>0</v>
      </c>
      <c r="G10" s="13" t="n">
        <f aca="false">IF(B10="",0,IF(ISNUMBER(FIND($D10,G$5)),1,0))</f>
        <v>1</v>
      </c>
      <c r="H10" s="13" t="n">
        <f aca="false">IF(B10="",0,IF(ISNUMBER(FIND($D10,H$5)),1,0))</f>
        <v>0</v>
      </c>
      <c r="I10" s="13" t="n">
        <f aca="false">IF(B10="",0,IF(ISNUMBER(FIND($D10,I$5)),1,0))</f>
        <v>0</v>
      </c>
      <c r="J10" s="13" t="n">
        <f aca="false">IF(B10="",0,IF(ISNUMBER(FIND($D10,J$5)),1,0))</f>
        <v>0</v>
      </c>
      <c r="K10" s="13" t="n">
        <f aca="false">IF(B10="",0,IF(ISNUMBER(FIND($D10,K$5)),1,0))</f>
        <v>0</v>
      </c>
    </row>
    <row r="11" customFormat="false" ht="15" hidden="false" customHeight="false" outlineLevel="0" collapsed="false">
      <c r="A11" s="12" t="s">
        <v>215</v>
      </c>
      <c r="B11" s="12" t="s">
        <v>217</v>
      </c>
      <c r="C11" s="12" t="s">
        <v>182</v>
      </c>
      <c r="D11" s="0" t="str">
        <f aca="false">" "&amp;B11&amp;IF(C11="word"," ","")</f>
        <v> estimate</v>
      </c>
      <c r="E11" s="13" t="n">
        <f aca="false">IF(B11="",0,IF(ISNUMBER(FIND($D11,E$5)),1,0))</f>
        <v>0</v>
      </c>
      <c r="F11" s="13" t="n">
        <f aca="false">IF(B11="",0,IF(ISNUMBER(FIND($D11,F$5)),1,0))</f>
        <v>0</v>
      </c>
      <c r="G11" s="13" t="n">
        <f aca="false">IF(B11="",0,IF(ISNUMBER(FIND($D11,G$5)),1,0))</f>
        <v>0</v>
      </c>
      <c r="H11" s="13" t="n">
        <f aca="false">IF(B11="",0,IF(ISNUMBER(FIND($D11,H$5)),1,0))</f>
        <v>0</v>
      </c>
      <c r="I11" s="13" t="n">
        <f aca="false">IF(B11="",0,IF(ISNUMBER(FIND($D11,I$5)),1,0))</f>
        <v>1</v>
      </c>
      <c r="J11" s="13" t="n">
        <f aca="false">IF(B11="",0,IF(ISNUMBER(FIND($D11,J$5)),1,0))</f>
        <v>1</v>
      </c>
      <c r="K11" s="13" t="n">
        <f aca="false">IF(B11="",0,IF(ISNUMBER(FIND($D11,K$5)),1,0))</f>
        <v>0</v>
      </c>
    </row>
    <row r="12" customFormat="false" ht="15" hidden="false" customHeight="false" outlineLevel="0" collapsed="false">
      <c r="A12" s="12" t="s">
        <v>218</v>
      </c>
      <c r="B12" s="12" t="s">
        <v>219</v>
      </c>
      <c r="C12" s="12" t="s">
        <v>180</v>
      </c>
      <c r="D12" s="0" t="str">
        <f aca="false">" "&amp;B12&amp;IF(C12="word"," ","")</f>
        <v> hire </v>
      </c>
      <c r="E12" s="13" t="n">
        <f aca="false">IF(B12="",0,IF(ISNUMBER(FIND($D12,E$5)),1,0))</f>
        <v>0</v>
      </c>
      <c r="F12" s="13" t="n">
        <f aca="false">IF(B12="",0,IF(ISNUMBER(FIND($D12,F$5)),1,0))</f>
        <v>0</v>
      </c>
      <c r="G12" s="13" t="n">
        <f aca="false">IF(B12="",0,IF(ISNUMBER(FIND($D12,G$5)),1,0))</f>
        <v>1</v>
      </c>
      <c r="H12" s="13" t="n">
        <f aca="false">IF(B12="",0,IF(ISNUMBER(FIND($D12,H$5)),1,0))</f>
        <v>1</v>
      </c>
      <c r="I12" s="13" t="n">
        <f aca="false">IF(B12="",0,IF(ISNUMBER(FIND($D12,I$5)),1,0))</f>
        <v>0</v>
      </c>
      <c r="J12" s="13" t="n">
        <f aca="false">IF(B12="",0,IF(ISNUMBER(FIND($D12,J$5)),1,0))</f>
        <v>0</v>
      </c>
      <c r="K12" s="13" t="n">
        <f aca="false">IF(B12="",0,IF(ISNUMBER(FIND($D12,K$5)),1,0))</f>
        <v>0</v>
      </c>
    </row>
    <row r="13" customFormat="false" ht="15" hidden="false" customHeight="false" outlineLevel="0" collapsed="false">
      <c r="A13" s="12" t="s">
        <v>220</v>
      </c>
      <c r="B13" s="12" t="s">
        <v>221</v>
      </c>
      <c r="C13" s="12" t="s">
        <v>180</v>
      </c>
      <c r="D13" s="0" t="str">
        <f aca="false">" "&amp;B13&amp;IF(C13="word"," ","")</f>
        <v> contact </v>
      </c>
      <c r="E13" s="13" t="n">
        <f aca="false">IF(B13="",0,IF(ISNUMBER(FIND($D13,E$5)),1,0))</f>
        <v>1</v>
      </c>
      <c r="F13" s="13" t="n">
        <f aca="false">IF(B13="",0,IF(ISNUMBER(FIND($D13,F$5)),1,0))</f>
        <v>1</v>
      </c>
      <c r="G13" s="13" t="n">
        <f aca="false">IF(B13="",0,IF(ISNUMBER(FIND($D13,G$5)),1,0))</f>
        <v>1</v>
      </c>
      <c r="H13" s="13" t="n">
        <f aca="false">IF(B13="",0,IF(ISNUMBER(FIND($D13,H$5)),1,0))</f>
        <v>0</v>
      </c>
      <c r="I13" s="13" t="n">
        <f aca="false">IF(B13="",0,IF(ISNUMBER(FIND($D13,I$5)),1,0))</f>
        <v>0</v>
      </c>
      <c r="J13" s="13" t="n">
        <f aca="false">IF(B13="",0,IF(ISNUMBER(FIND($D13,J$5)),1,0))</f>
        <v>0</v>
      </c>
      <c r="K13" s="13" t="n">
        <f aca="false">IF(B13="",0,IF(ISNUMBER(FIND($D13,K$5)),1,0))</f>
        <v>0</v>
      </c>
    </row>
    <row r="14" customFormat="false" ht="15" hidden="false" customHeight="false" outlineLevel="0" collapsed="false">
      <c r="A14" s="12" t="s">
        <v>220</v>
      </c>
      <c r="B14" s="12" t="s">
        <v>222</v>
      </c>
      <c r="C14" s="12" t="s">
        <v>182</v>
      </c>
      <c r="D14" s="0" t="str">
        <f aca="false">" "&amp;B14&amp;IF(C14="word"," ","")</f>
        <v> get in touch</v>
      </c>
      <c r="E14" s="13" t="n">
        <f aca="false">IF(B14="",0,IF(ISNUMBER(FIND($D14,E$5)),1,0))</f>
        <v>0</v>
      </c>
      <c r="F14" s="13" t="n">
        <f aca="false">IF(B14="",0,IF(ISNUMBER(FIND($D14,F$5)),1,0))</f>
        <v>0</v>
      </c>
      <c r="G14" s="13" t="n">
        <f aca="false">IF(B14="",0,IF(ISNUMBER(FIND($D14,G$5)),1,0))</f>
        <v>0</v>
      </c>
      <c r="H14" s="13" t="n">
        <f aca="false">IF(B14="",0,IF(ISNUMBER(FIND($D14,H$5)),1,0))</f>
        <v>0</v>
      </c>
      <c r="I14" s="13" t="n">
        <f aca="false">IF(B14="",0,IF(ISNUMBER(FIND($D14,I$5)),1,0))</f>
        <v>1</v>
      </c>
      <c r="J14" s="13" t="n">
        <f aca="false">IF(B14="",0,IF(ISNUMBER(FIND($D14,J$5)),1,0))</f>
        <v>1</v>
      </c>
      <c r="K14" s="13" t="n">
        <f aca="false">IF(B14="",0,IF(ISNUMBER(FIND($D14,K$5)),1,0))</f>
        <v>1</v>
      </c>
    </row>
    <row r="15" customFormat="false" ht="15" hidden="false" customHeight="false" outlineLevel="0" collapsed="false">
      <c r="A15" s="12" t="s">
        <v>223</v>
      </c>
      <c r="B15" s="12" t="s">
        <v>224</v>
      </c>
      <c r="C15" s="12" t="s">
        <v>180</v>
      </c>
      <c r="D15" s="0" t="str">
        <f aca="false">" "&amp;B15&amp;IF(C15="word"," ","")</f>
        <v> nda </v>
      </c>
      <c r="E15" s="13" t="n">
        <f aca="false">IF(B15="",0,IF(ISNUMBER(FIND($D15,E$5)),1,0))</f>
        <v>0</v>
      </c>
      <c r="F15" s="13" t="n">
        <f aca="false">IF(B15="",0,IF(ISNUMBER(FIND($D15,F$5)),1,0))</f>
        <v>0</v>
      </c>
      <c r="G15" s="13" t="n">
        <f aca="false">IF(B15="",0,IF(ISNUMBER(FIND($D15,G$5)),1,0))</f>
        <v>0</v>
      </c>
      <c r="H15" s="13" t="n">
        <f aca="false">IF(B15="",0,IF(ISNUMBER(FIND($D15,H$5)),1,0))</f>
        <v>0</v>
      </c>
      <c r="I15" s="13" t="n">
        <f aca="false">IF(B15="",0,IF(ISNUMBER(FIND($D15,I$5)),1,0))</f>
        <v>1</v>
      </c>
      <c r="J15" s="13" t="n">
        <f aca="false">IF(B15="",0,IF(ISNUMBER(FIND($D15,J$5)),1,0))</f>
        <v>0</v>
      </c>
      <c r="K15" s="13" t="n">
        <f aca="false">IF(B15="",0,IF(ISNUMBER(FIND($D15,K$5)),1,0))</f>
        <v>0</v>
      </c>
    </row>
    <row r="16" customFormat="false" ht="15" hidden="false" customHeight="false" outlineLevel="0" collapsed="false">
      <c r="A16" s="12" t="s">
        <v>225</v>
      </c>
      <c r="B16" s="12" t="s">
        <v>226</v>
      </c>
      <c r="C16" s="12" t="s">
        <v>180</v>
      </c>
      <c r="D16" s="0" t="str">
        <f aca="false">" "&amp;B16&amp;IF(C16="word"," ","")</f>
        <v> portfolio </v>
      </c>
      <c r="E16" s="13" t="n">
        <f aca="false">IF(B16="",0,IF(ISNUMBER(FIND($D16,E$5)),1,0))</f>
        <v>0</v>
      </c>
      <c r="F16" s="13" t="n">
        <f aca="false">IF(B16="",0,IF(ISNUMBER(FIND($D16,F$5)),1,0))</f>
        <v>0</v>
      </c>
      <c r="G16" s="13" t="n">
        <f aca="false">IF(B16="",0,IF(ISNUMBER(FIND($D16,G$5)),1,0))</f>
        <v>0</v>
      </c>
      <c r="H16" s="13" t="n">
        <f aca="false">IF(B16="",0,IF(ISNUMBER(FIND($D16,H$5)),1,0))</f>
        <v>1</v>
      </c>
      <c r="I16" s="13" t="n">
        <f aca="false">IF(B16="",0,IF(ISNUMBER(FIND($D16,I$5)),1,0))</f>
        <v>0</v>
      </c>
      <c r="J16" s="13" t="n">
        <f aca="false">IF(B16="",0,IF(ISNUMBER(FIND($D16,J$5)),1,0))</f>
        <v>0</v>
      </c>
      <c r="K16" s="13" t="n">
        <f aca="false">IF(B16="",0,IF(ISNUMBER(FIND($D16,K$5)),1,0))</f>
        <v>0</v>
      </c>
    </row>
    <row r="17" customFormat="false" ht="15" hidden="false" customHeight="false" outlineLevel="0" collapsed="false">
      <c r="A17" s="12" t="s">
        <v>225</v>
      </c>
      <c r="B17" s="12" t="s">
        <v>227</v>
      </c>
      <c r="C17" s="12" t="s">
        <v>182</v>
      </c>
      <c r="D17" s="0" t="str">
        <f aca="false">" "&amp;B17&amp;IF(C17="word"," ","")</f>
        <v> case stud</v>
      </c>
      <c r="E17" s="13" t="n">
        <f aca="false">IF(B17="",0,IF(ISNUMBER(FIND($D17,E$5)),1,0))</f>
        <v>0</v>
      </c>
      <c r="F17" s="13" t="n">
        <f aca="false">IF(B17="",0,IF(ISNUMBER(FIND($D17,F$5)),1,0))</f>
        <v>0</v>
      </c>
      <c r="G17" s="13" t="n">
        <f aca="false">IF(B17="",0,IF(ISNUMBER(FIND($D17,G$5)),1,0))</f>
        <v>0</v>
      </c>
      <c r="H17" s="13" t="n">
        <f aca="false">IF(B17="",0,IF(ISNUMBER(FIND($D17,H$5)),1,0))</f>
        <v>0</v>
      </c>
      <c r="I17" s="13" t="n">
        <f aca="false">IF(B17="",0,IF(ISNUMBER(FIND($D17,I$5)),1,0))</f>
        <v>1</v>
      </c>
      <c r="J17" s="13" t="n">
        <f aca="false">IF(B17="",0,IF(ISNUMBER(FIND($D17,J$5)),1,0))</f>
        <v>1</v>
      </c>
      <c r="K17" s="13" t="n">
        <f aca="false">IF(B17="",0,IF(ISNUMBER(FIND($D17,K$5)),1,0))</f>
        <v>0</v>
      </c>
    </row>
    <row r="18" customFormat="false" ht="15" hidden="false" customHeight="false" outlineLevel="0" collapsed="false">
      <c r="A18" s="12" t="s">
        <v>225</v>
      </c>
      <c r="B18" s="12" t="s">
        <v>228</v>
      </c>
      <c r="C18" s="12" t="s">
        <v>182</v>
      </c>
      <c r="D18" s="0" t="str">
        <f aca="false">" "&amp;B18&amp;IF(C18="word"," ","")</f>
        <v> client work</v>
      </c>
      <c r="E18" s="13" t="n">
        <f aca="false">IF(B18="",0,IF(ISNUMBER(FIND($D18,E$5)),1,0))</f>
        <v>0</v>
      </c>
      <c r="F18" s="13" t="n">
        <f aca="false">IF(B18="",0,IF(ISNUMBER(FIND($D18,F$5)),1,0))</f>
        <v>0</v>
      </c>
      <c r="G18" s="13" t="n">
        <f aca="false">IF(B18="",0,IF(ISNUMBER(FIND($D18,G$5)),1,0))</f>
        <v>0</v>
      </c>
      <c r="H18" s="13" t="n">
        <f aca="false">IF(B18="",0,IF(ISNUMBER(FIND($D18,H$5)),1,0))</f>
        <v>0</v>
      </c>
      <c r="I18" s="13" t="n">
        <f aca="false">IF(B18="",0,IF(ISNUMBER(FIND($D18,I$5)),1,0))</f>
        <v>0</v>
      </c>
      <c r="J18" s="13" t="n">
        <f aca="false">IF(B18="",0,IF(ISNUMBER(FIND($D18,J$5)),1,0))</f>
        <v>0</v>
      </c>
      <c r="K18" s="13" t="n">
        <f aca="false">IF(B18="",0,IF(ISNUMBER(FIND($D18,K$5)),1,0))</f>
        <v>1</v>
      </c>
    </row>
    <row r="19" customFormat="false" ht="15" hidden="false" customHeight="false" outlineLevel="0" collapsed="false">
      <c r="A19" s="12" t="s">
        <v>225</v>
      </c>
      <c r="B19" s="12" t="s">
        <v>229</v>
      </c>
      <c r="C19" s="12" t="s">
        <v>180</v>
      </c>
      <c r="D19" s="0" t="str">
        <f aca="false">" "&amp;B19&amp;IF(C19="word"," ","")</f>
        <v> review </v>
      </c>
      <c r="E19" s="13" t="n">
        <f aca="false">IF(B19="",0,IF(ISNUMBER(FIND($D19,E$5)),1,0))</f>
        <v>0</v>
      </c>
      <c r="F19" s="13" t="n">
        <f aca="false">IF(B19="",0,IF(ISNUMBER(FIND($D19,F$5)),1,0))</f>
        <v>0</v>
      </c>
      <c r="G19" s="13" t="n">
        <f aca="false">IF(B19="",0,IF(ISNUMBER(FIND($D19,G$5)),1,0))</f>
        <v>0</v>
      </c>
      <c r="H19" s="13" t="n">
        <f aca="false">IF(B19="",0,IF(ISNUMBER(FIND($D19,H$5)),1,0))</f>
        <v>1</v>
      </c>
      <c r="I19" s="13" t="n">
        <f aca="false">IF(B19="",0,IF(ISNUMBER(FIND($D19,I$5)),1,0))</f>
        <v>0</v>
      </c>
      <c r="J19" s="13" t="n">
        <f aca="false">IF(B19="",0,IF(ISNUMBER(FIND($D19,J$5)),1,0))</f>
        <v>0</v>
      </c>
      <c r="K19" s="13" t="n">
        <f aca="false">IF(B19="",0,IF(ISNUMBER(FIND($D19,K$5)),1,0))</f>
        <v>0</v>
      </c>
    </row>
    <row r="20" customFormat="false" ht="15" hidden="false" customHeight="false" outlineLevel="0" collapsed="false">
      <c r="A20" s="12" t="s">
        <v>230</v>
      </c>
      <c r="B20" s="12" t="s">
        <v>231</v>
      </c>
      <c r="C20" s="12" t="s">
        <v>180</v>
      </c>
      <c r="D20" s="0" t="str">
        <f aca="false">" "&amp;B20&amp;IF(C20="word"," ","")</f>
        <v> register </v>
      </c>
      <c r="E20" s="13" t="n">
        <f aca="false">IF(B20="",0,IF(ISNUMBER(FIND($D20,E$5)),1,0))</f>
        <v>1</v>
      </c>
      <c r="F20" s="13" t="n">
        <f aca="false">IF(B20="",0,IF(ISNUMBER(FIND($D20,F$5)),1,0))</f>
        <v>0</v>
      </c>
      <c r="G20" s="13" t="n">
        <f aca="false">IF(B20="",0,IF(ISNUMBER(FIND($D20,G$5)),1,0))</f>
        <v>0</v>
      </c>
      <c r="H20" s="13" t="n">
        <f aca="false">IF(B20="",0,IF(ISNUMBER(FIND($D20,H$5)),1,0))</f>
        <v>0</v>
      </c>
      <c r="I20" s="13" t="n">
        <f aca="false">IF(B20="",0,IF(ISNUMBER(FIND($D20,I$5)),1,0))</f>
        <v>0</v>
      </c>
      <c r="J20" s="13" t="n">
        <f aca="false">IF(B20="",0,IF(ISNUMBER(FIND($D20,J$5)),1,0))</f>
        <v>0</v>
      </c>
      <c r="K20" s="13" t="n">
        <f aca="false">IF(B20="",0,IF(ISNUMBER(FIND($D20,K$5)),1,0))</f>
        <v>0</v>
      </c>
    </row>
    <row r="22" customFormat="false" ht="41.75" hidden="false" customHeight="false" outlineLevel="0" collapsed="false">
      <c r="A22" s="11" t="s">
        <v>207</v>
      </c>
      <c r="B22" s="11"/>
      <c r="C22" s="11"/>
      <c r="D22" s="11" t="s">
        <v>208</v>
      </c>
      <c r="E22" s="11" t="s">
        <v>9</v>
      </c>
      <c r="F22" s="11" t="s">
        <v>65</v>
      </c>
      <c r="G22" s="11" t="s">
        <v>77</v>
      </c>
      <c r="H22" s="11" t="s">
        <v>88</v>
      </c>
      <c r="I22" s="11" t="s">
        <v>103</v>
      </c>
      <c r="J22" s="11" t="s">
        <v>114</v>
      </c>
      <c r="K22" s="11" t="s">
        <v>127</v>
      </c>
    </row>
    <row r="23" customFormat="false" ht="15" hidden="false" customHeight="false" outlineLevel="0" collapsed="false">
      <c r="A23" s="0" t="s">
        <v>210</v>
      </c>
      <c r="D23" s="0" t="n">
        <f aca="false">SUM(E23:K23)</f>
        <v>5</v>
      </c>
      <c r="E23" s="0" t="n">
        <f aca="false">IF(SUMIF($A$6:$A$20,$A23,E$6:E$20)&gt;0,1,0)</f>
        <v>1</v>
      </c>
      <c r="F23" s="0" t="n">
        <f aca="false">IF(SUMIF($A$6:$A$20,$A23,F$6:F$20)&gt;0,1,0)</f>
        <v>1</v>
      </c>
      <c r="G23" s="0" t="n">
        <f aca="false">IF(SUMIF($A$6:$A$20,$A23,G$6:G$20)&gt;0,1,0)</f>
        <v>1</v>
      </c>
      <c r="H23" s="0" t="n">
        <f aca="false">IF(SUMIF($A$6:$A$20,$A23,H$6:H$20)&gt;0,1,0)</f>
        <v>1</v>
      </c>
      <c r="I23" s="0" t="n">
        <f aca="false">IF(SUMIF($A$6:$A$20,$A23,I$6:I$20)&gt;0,1,0)</f>
        <v>1</v>
      </c>
      <c r="J23" s="0" t="n">
        <f aca="false">IF(SUMIF($A$6:$A$20,$A23,J$6:J$20)&gt;0,1,0)</f>
        <v>0</v>
      </c>
      <c r="K23" s="0" t="n">
        <f aca="false">IF(SUMIF($A$6:$A$20,$A23,K$6:K$20)&gt;0,1,0)</f>
        <v>0</v>
      </c>
    </row>
    <row r="24" customFormat="false" ht="15" hidden="false" customHeight="false" outlineLevel="0" collapsed="false">
      <c r="A24" s="0" t="s">
        <v>215</v>
      </c>
      <c r="D24" s="0" t="n">
        <f aca="false">SUM(E24:K24)</f>
        <v>3</v>
      </c>
      <c r="E24" s="0" t="n">
        <f aca="false">IF(SUMIF($A$6:$A$20,$A24,E$6:E$20)&gt;0,1,0)</f>
        <v>0</v>
      </c>
      <c r="F24" s="0" t="n">
        <f aca="false">IF(SUMIF($A$6:$A$20,$A24,F$6:F$20)&gt;0,1,0)</f>
        <v>0</v>
      </c>
      <c r="G24" s="0" t="n">
        <f aca="false">IF(SUMIF($A$6:$A$20,$A24,G$6:G$20)&gt;0,1,0)</f>
        <v>1</v>
      </c>
      <c r="H24" s="0" t="n">
        <f aca="false">IF(SUMIF($A$6:$A$20,$A24,H$6:H$20)&gt;0,1,0)</f>
        <v>0</v>
      </c>
      <c r="I24" s="0" t="n">
        <f aca="false">IF(SUMIF($A$6:$A$20,$A24,I$6:I$20)&gt;0,1,0)</f>
        <v>1</v>
      </c>
      <c r="J24" s="0" t="n">
        <f aca="false">IF(SUMIF($A$6:$A$20,$A24,J$6:J$20)&gt;0,1,0)</f>
        <v>1</v>
      </c>
      <c r="K24" s="0" t="n">
        <f aca="false">IF(SUMIF($A$6:$A$20,$A24,K$6:K$20)&gt;0,1,0)</f>
        <v>0</v>
      </c>
    </row>
    <row r="25" customFormat="false" ht="15" hidden="false" customHeight="false" outlineLevel="0" collapsed="false">
      <c r="A25" s="0" t="s">
        <v>218</v>
      </c>
      <c r="D25" s="0" t="n">
        <f aca="false">SUM(E25:K25)</f>
        <v>2</v>
      </c>
      <c r="E25" s="0" t="n">
        <f aca="false">IF(SUMIF($A$6:$A$20,$A25,E$6:E$20)&gt;0,1,0)</f>
        <v>0</v>
      </c>
      <c r="F25" s="0" t="n">
        <f aca="false">IF(SUMIF($A$6:$A$20,$A25,F$6:F$20)&gt;0,1,0)</f>
        <v>0</v>
      </c>
      <c r="G25" s="0" t="n">
        <f aca="false">IF(SUMIF($A$6:$A$20,$A25,G$6:G$20)&gt;0,1,0)</f>
        <v>1</v>
      </c>
      <c r="H25" s="0" t="n">
        <f aca="false">IF(SUMIF($A$6:$A$20,$A25,H$6:H$20)&gt;0,1,0)</f>
        <v>1</v>
      </c>
      <c r="I25" s="0" t="n">
        <f aca="false">IF(SUMIF($A$6:$A$20,$A25,I$6:I$20)&gt;0,1,0)</f>
        <v>0</v>
      </c>
      <c r="J25" s="0" t="n">
        <f aca="false">IF(SUMIF($A$6:$A$20,$A25,J$6:J$20)&gt;0,1,0)</f>
        <v>0</v>
      </c>
      <c r="K25" s="0" t="n">
        <f aca="false">IF(SUMIF($A$6:$A$20,$A25,K$6:K$20)&gt;0,1,0)</f>
        <v>0</v>
      </c>
    </row>
    <row r="26" customFormat="false" ht="15" hidden="false" customHeight="false" outlineLevel="0" collapsed="false">
      <c r="A26" s="0" t="s">
        <v>220</v>
      </c>
      <c r="D26" s="0" t="n">
        <f aca="false">SUM(E26:K26)</f>
        <v>6</v>
      </c>
      <c r="E26" s="0" t="n">
        <f aca="false">IF(SUMIF($A$6:$A$20,$A26,E$6:E$20)&gt;0,1,0)</f>
        <v>1</v>
      </c>
      <c r="F26" s="0" t="n">
        <f aca="false">IF(SUMIF($A$6:$A$20,$A26,F$6:F$20)&gt;0,1,0)</f>
        <v>1</v>
      </c>
      <c r="G26" s="0" t="n">
        <f aca="false">IF(SUMIF($A$6:$A$20,$A26,G$6:G$20)&gt;0,1,0)</f>
        <v>1</v>
      </c>
      <c r="H26" s="0" t="n">
        <f aca="false">IF(SUMIF($A$6:$A$20,$A26,H$6:H$20)&gt;0,1,0)</f>
        <v>0</v>
      </c>
      <c r="I26" s="0" t="n">
        <f aca="false">IF(SUMIF($A$6:$A$20,$A26,I$6:I$20)&gt;0,1,0)</f>
        <v>1</v>
      </c>
      <c r="J26" s="0" t="n">
        <f aca="false">IF(SUMIF($A$6:$A$20,$A26,J$6:J$20)&gt;0,1,0)</f>
        <v>1</v>
      </c>
      <c r="K26" s="0" t="n">
        <f aca="false">IF(SUMIF($A$6:$A$20,$A26,K$6:K$20)&gt;0,1,0)</f>
        <v>1</v>
      </c>
    </row>
    <row r="27" customFormat="false" ht="15" hidden="false" customHeight="false" outlineLevel="0" collapsed="false">
      <c r="A27" s="0" t="s">
        <v>223</v>
      </c>
      <c r="D27" s="0" t="n">
        <f aca="false">SUM(E27:K27)</f>
        <v>1</v>
      </c>
      <c r="E27" s="0" t="n">
        <f aca="false">IF(SUMIF($A$6:$A$20,$A27,E$6:E$20)&gt;0,1,0)</f>
        <v>0</v>
      </c>
      <c r="F27" s="0" t="n">
        <f aca="false">IF(SUMIF($A$6:$A$20,$A27,F$6:F$20)&gt;0,1,0)</f>
        <v>0</v>
      </c>
      <c r="G27" s="0" t="n">
        <f aca="false">IF(SUMIF($A$6:$A$20,$A27,G$6:G$20)&gt;0,1,0)</f>
        <v>0</v>
      </c>
      <c r="H27" s="0" t="n">
        <f aca="false">IF(SUMIF($A$6:$A$20,$A27,H$6:H$20)&gt;0,1,0)</f>
        <v>0</v>
      </c>
      <c r="I27" s="0" t="n">
        <f aca="false">IF(SUMIF($A$6:$A$20,$A27,I$6:I$20)&gt;0,1,0)</f>
        <v>1</v>
      </c>
      <c r="J27" s="0" t="n">
        <f aca="false">IF(SUMIF($A$6:$A$20,$A27,J$6:J$20)&gt;0,1,0)</f>
        <v>0</v>
      </c>
      <c r="K27" s="0" t="n">
        <f aca="false">IF(SUMIF($A$6:$A$20,$A27,K$6:K$20)&gt;0,1,0)</f>
        <v>0</v>
      </c>
    </row>
    <row r="28" customFormat="false" ht="15" hidden="false" customHeight="false" outlineLevel="0" collapsed="false">
      <c r="A28" s="0" t="s">
        <v>225</v>
      </c>
      <c r="D28" s="0" t="n">
        <f aca="false">SUM(E28:K28)</f>
        <v>4</v>
      </c>
      <c r="E28" s="0" t="n">
        <f aca="false">IF(SUMIF($A$6:$A$20,$A28,E$6:E$20)&gt;0,1,0)</f>
        <v>0</v>
      </c>
      <c r="F28" s="0" t="n">
        <f aca="false">IF(SUMIF($A$6:$A$20,$A28,F$6:F$20)&gt;0,1,0)</f>
        <v>0</v>
      </c>
      <c r="G28" s="0" t="n">
        <f aca="false">IF(SUMIF($A$6:$A$20,$A28,G$6:G$20)&gt;0,1,0)</f>
        <v>0</v>
      </c>
      <c r="H28" s="0" t="n">
        <f aca="false">IF(SUMIF($A$6:$A$20,$A28,H$6:H$20)&gt;0,1,0)</f>
        <v>1</v>
      </c>
      <c r="I28" s="0" t="n">
        <f aca="false">IF(SUMIF($A$6:$A$20,$A28,I$6:I$20)&gt;0,1,0)</f>
        <v>1</v>
      </c>
      <c r="J28" s="0" t="n">
        <f aca="false">IF(SUMIF($A$6:$A$20,$A28,J$6:J$20)&gt;0,1,0)</f>
        <v>1</v>
      </c>
      <c r="K28" s="0" t="n">
        <f aca="false">IF(SUMIF($A$6:$A$20,$A28,K$6:K$20)&gt;0,1,0)</f>
        <v>1</v>
      </c>
    </row>
    <row r="29" customFormat="false" ht="15" hidden="false" customHeight="false" outlineLevel="0" collapsed="false">
      <c r="A29" s="0" t="s">
        <v>230</v>
      </c>
      <c r="D29" s="0" t="n">
        <f aca="false">SUM(E29:K29)</f>
        <v>1</v>
      </c>
      <c r="E29" s="0" t="n">
        <f aca="false">IF(SUMIF($A$6:$A$20,$A29,E$6:E$20)&gt;0,1,0)</f>
        <v>1</v>
      </c>
      <c r="F29" s="0" t="n">
        <f aca="false">IF(SUMIF($A$6:$A$20,$A29,F$6:F$20)&gt;0,1,0)</f>
        <v>0</v>
      </c>
      <c r="G29" s="0" t="n">
        <f aca="false">IF(SUMIF($A$6:$A$20,$A29,G$6:G$20)&gt;0,1,0)</f>
        <v>0</v>
      </c>
      <c r="H29" s="0" t="n">
        <f aca="false">IF(SUMIF($A$6:$A$20,$A29,H$6:H$20)&gt;0,1,0)</f>
        <v>0</v>
      </c>
      <c r="I29" s="0" t="n">
        <f aca="false">IF(SUMIF($A$6:$A$20,$A29,I$6:I$20)&gt;0,1,0)</f>
        <v>0</v>
      </c>
      <c r="J29" s="0" t="n">
        <f aca="false">IF(SUMIF($A$6:$A$20,$A29,J$6:J$20)&gt;0,1,0)</f>
        <v>0</v>
      </c>
      <c r="K29" s="0" t="n">
        <f aca="false">IF(SUMIF($A$6:$A$20,$A29,K$6:K$20)&gt;0,1,0)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11" min="5" style="0" width="14"/>
  </cols>
  <sheetData>
    <row r="1" customFormat="false" ht="16.15" hidden="false" customHeight="false" outlineLevel="0" collapsed="false">
      <c r="A1" s="10" t="s">
        <v>232</v>
      </c>
    </row>
    <row r="2" customFormat="false" ht="15" hidden="false" customHeight="false" outlineLevel="0" collapsed="false">
      <c r="A2" s="0" t="s">
        <v>172</v>
      </c>
    </row>
    <row r="4" customFormat="false" ht="41.75" hidden="false" customHeight="false" outlineLevel="0" collapsed="false">
      <c r="A4" s="11" t="s">
        <v>173</v>
      </c>
      <c r="B4" s="11" t="s">
        <v>174</v>
      </c>
      <c r="C4" s="11" t="s">
        <v>175</v>
      </c>
      <c r="D4" s="11" t="s">
        <v>176</v>
      </c>
      <c r="E4" s="11" t="s">
        <v>9</v>
      </c>
      <c r="F4" s="11" t="s">
        <v>65</v>
      </c>
      <c r="G4" s="11" t="s">
        <v>77</v>
      </c>
      <c r="H4" s="11" t="s">
        <v>88</v>
      </c>
      <c r="I4" s="11" t="s">
        <v>103</v>
      </c>
      <c r="J4" s="11" t="s">
        <v>114</v>
      </c>
      <c r="K4" s="11" t="s">
        <v>127</v>
      </c>
    </row>
    <row r="5" customFormat="false" ht="15" hidden="false" customHeight="false" outlineLevel="0" collapsed="false">
      <c r="A5" s="4" t="s">
        <v>177</v>
      </c>
      <c r="E5" s="0" t="str">
        <f aca="false">" "&amp;SUBSTITUTE(SUBSTITUTE(SUBSTITUTE(SUBSTITUTE(SUBSTITUTE(SUBSTITUTE(SUBSTITUTE(SUBSTITUTE(SUBSTITUTE(SUBSTITUTE(SUBSTITUTE(SUBSTITUTE(SUBSTITUTE(SUBSTITUTE(SUBSTITUTE(SUBSTITUTE(LOWER(Brands!$G$2),"-"," "),"."," "),","," "),":"," "),";"," "),"!"," "),"?"," "),"'"," "),""""," "),"’"," "),"—"," "),"/"," "),"("," "),")"," "),"&amp;"," "),"+"," ")&amp;" "</f>
        <v> services as software  outcome aligned commercials  </v>
      </c>
      <c r="F5" s="0" t="str">
        <f aca="false">" "&amp;SUBSTITUTE(SUBSTITUTE(SUBSTITUTE(SUBSTITUTE(SUBSTITUTE(SUBSTITUTE(SUBSTITUTE(SUBSTITUTE(SUBSTITUTE(SUBSTITUTE(SUBSTITUTE(SUBSTITUTE(SUBSTITUTE(SUBSTITUTE(SUBSTITUTE(SUBSTITUTE(LOWER(Brands!$G$3),"-"," "),"."," "),","," "),":"," "),";"," "),"!"," "),"?"," "),"'"," "),""""," "),"’"," "),"—"," "),"/"," "),"("," "),")"," "),"&amp;"," "),"+"," ")&amp;" "</f>
        <v> dedicated development team  it outsourcing  offshore software development  managed it services </v>
      </c>
      <c r="G5" s="0" t="str">
        <f aca="false">" "&amp;SUBSTITUTE(SUBSTITUTE(SUBSTITUTE(SUBSTITUTE(SUBSTITUTE(SUBSTITUTE(SUBSTITUTE(SUBSTITUTE(SUBSTITUTE(SUBSTITUTE(SUBSTITUTE(SUBSTITUTE(SUBSTITUTE(SUBSTITUTE(SUBSTITUTE(SUBSTITUTE(LOWER(Brands!$G$4),"-"," "),"."," "),","," "),":"," "),";"," "),"!"," "),"?"," "),"'"," "),""""," "),"’"," "),"—"," "),"/"," "),"("," "),")"," "),"&amp;"," "),"+"," ")&amp;" "</f>
        <v> fixed price model  hire dedicated model  hourly rate   onsite model  contract basis  </v>
      </c>
      <c r="H5" s="0" t="str">
        <f aca="false">" "&amp;SUBSTITUTE(SUBSTITUTE(SUBSTITUTE(SUBSTITUTE(SUBSTITUTE(SUBSTITUTE(SUBSTITUTE(SUBSTITUTE(SUBSTITUTE(SUBSTITUTE(SUBSTITUTE(SUBSTITUTE(SUBSTITUTE(SUBSTITUTE(SUBSTITUTE(SUBSTITUTE(LOWER(Brands!$G$5),"-"," "),"."," "),","," "),":"," "),";"," "),"!"," "),"?"," "),"'"," "),""""," "),"’"," "),"—"," "),"/"," "),"("," "),")"," "),"&amp;"," "),"+"," ")&amp;" "</f>
        <v> fixed scope healthcare projects  milestone based payment  20 50% upfront   dedicated healthcare development team  3 15 specialists   staff augmentation for healthcare engineering  custom pricing  </v>
      </c>
      <c r="I5" s="0" t="str">
        <f aca="false">" "&amp;SUBSTITUTE(SUBSTITUTE(SUBSTITUTE(SUBSTITUTE(SUBSTITUTE(SUBSTITUTE(SUBSTITUTE(SUBSTITUTE(SUBSTITUTE(SUBSTITUTE(SUBSTITUTE(SUBSTITUTE(SUBSTITUTE(SUBSTITUTE(SUBSTITUTE(SUBSTITUTE(LOWER(Brands!$G$6),"-"," "),"."," "),","," "),":"," "),";"," "),"!"," "),"?"," "),"'"," "),""""," "),"’"," "),"—"," "),"/"," "),"("," "),")"," "),"&amp;"," "),"+"," ")&amp;" "</f>
        <v> dedicated development teams  staff augmentation  team extension  mvp development  outsourcing  nearshore </v>
      </c>
      <c r="J5" s="0" t="str">
        <f aca="false">" "&amp;SUBSTITUTE(SUBSTITUTE(SUBSTITUTE(SUBSTITUTE(SUBSTITUTE(SUBSTITUTE(SUBSTITUTE(SUBSTITUTE(SUBSTITUTE(SUBSTITUTE(SUBSTITUTE(SUBSTITUTE(SUBSTITUTE(SUBSTITUTE(SUBSTITUTE(SUBSTITUTE(LOWER(Brands!$G$7),"-"," "),"."," "),","," "),":"," "),";"," "),"!"," "),"?"," "),"'"," "),""""," "),"’"," "),"—"," "),"/"," "),"("," "),")"," "),"&amp;"," "),"+"," ")&amp;" "</f>
        <v> dedicated teams  staff augmentation  delivery center </v>
      </c>
      <c r="K5" s="0" t="str">
        <f aca="false">" "&amp;SUBSTITUTE(SUBSTITUTE(SUBSTITUTE(SUBSTITUTE(SUBSTITUTE(SUBSTITUTE(SUBSTITUTE(SUBSTITUTE(SUBSTITUTE(SUBSTITUTE(SUBSTITUTE(SUBSTITUTE(SUBSTITUTE(SUBSTITUTE(SUBSTITUTE(SUBSTITUTE(LOWER(Brands!$G$8),"-"," "),"."," "),","," "),":"," "),";"," "),"!"," "),"?"," "),"'"," "),""""," "),"’"," "),"—"," "),"/"," "),"("," "),")"," "),"&amp;"," "),"+"," ")&amp;" "</f>
        <v>  </v>
      </c>
    </row>
    <row r="6" customFormat="false" ht="15" hidden="false" customHeight="false" outlineLevel="0" collapsed="false">
      <c r="A6" s="12" t="s">
        <v>233</v>
      </c>
      <c r="B6" s="12" t="s">
        <v>234</v>
      </c>
      <c r="C6" s="12" t="s">
        <v>180</v>
      </c>
      <c r="D6" s="0" t="str">
        <f aca="false">" "&amp;B6&amp;IF(C6="word"," ","")</f>
        <v> fixed </v>
      </c>
      <c r="E6" s="13" t="n">
        <f aca="false">IF(B6="",0,IF(ISNUMBER(FIND($D6,E$5)),1,0))</f>
        <v>0</v>
      </c>
      <c r="F6" s="13" t="n">
        <f aca="false">IF(B6="",0,IF(ISNUMBER(FIND($D6,F$5)),1,0))</f>
        <v>0</v>
      </c>
      <c r="G6" s="13" t="n">
        <f aca="false">IF(B6="",0,IF(ISNUMBER(FIND($D6,G$5)),1,0))</f>
        <v>1</v>
      </c>
      <c r="H6" s="13" t="n">
        <f aca="false">IF(B6="",0,IF(ISNUMBER(FIND($D6,H$5)),1,0))</f>
        <v>1</v>
      </c>
      <c r="I6" s="13" t="n">
        <f aca="false">IF(B6="",0,IF(ISNUMBER(FIND($D6,I$5)),1,0))</f>
        <v>0</v>
      </c>
      <c r="J6" s="13" t="n">
        <f aca="false">IF(B6="",0,IF(ISNUMBER(FIND($D6,J$5)),1,0))</f>
        <v>0</v>
      </c>
      <c r="K6" s="13" t="n">
        <f aca="false">IF(B6="",0,IF(ISNUMBER(FIND($D6,K$5)),1,0))</f>
        <v>0</v>
      </c>
    </row>
    <row r="7" customFormat="false" ht="15" hidden="false" customHeight="false" outlineLevel="0" collapsed="false">
      <c r="A7" s="12" t="s">
        <v>235</v>
      </c>
      <c r="B7" s="12" t="s">
        <v>236</v>
      </c>
      <c r="C7" s="12" t="s">
        <v>180</v>
      </c>
      <c r="D7" s="0" t="str">
        <f aca="false">" "&amp;B7&amp;IF(C7="word"," ","")</f>
        <v> hourly </v>
      </c>
      <c r="E7" s="13" t="n">
        <f aca="false">IF(B7="",0,IF(ISNUMBER(FIND($D7,E$5)),1,0))</f>
        <v>0</v>
      </c>
      <c r="F7" s="13" t="n">
        <f aca="false">IF(B7="",0,IF(ISNUMBER(FIND($D7,F$5)),1,0))</f>
        <v>0</v>
      </c>
      <c r="G7" s="13" t="n">
        <f aca="false">IF(B7="",0,IF(ISNUMBER(FIND($D7,G$5)),1,0))</f>
        <v>1</v>
      </c>
      <c r="H7" s="13" t="n">
        <f aca="false">IF(B7="",0,IF(ISNUMBER(FIND($D7,H$5)),1,0))</f>
        <v>0</v>
      </c>
      <c r="I7" s="13" t="n">
        <f aca="false">IF(B7="",0,IF(ISNUMBER(FIND($D7,I$5)),1,0))</f>
        <v>0</v>
      </c>
      <c r="J7" s="13" t="n">
        <f aca="false">IF(B7="",0,IF(ISNUMBER(FIND($D7,J$5)),1,0))</f>
        <v>0</v>
      </c>
      <c r="K7" s="13" t="n">
        <f aca="false">IF(B7="",0,IF(ISNUMBER(FIND($D7,K$5)),1,0))</f>
        <v>0</v>
      </c>
    </row>
    <row r="8" customFormat="false" ht="15" hidden="false" customHeight="false" outlineLevel="0" collapsed="false">
      <c r="A8" s="12" t="s">
        <v>237</v>
      </c>
      <c r="B8" s="12" t="s">
        <v>238</v>
      </c>
      <c r="C8" s="12" t="s">
        <v>180</v>
      </c>
      <c r="D8" s="0" t="str">
        <f aca="false">" "&amp;B8&amp;IF(C8="word"," ","")</f>
        <v> dedicated </v>
      </c>
      <c r="E8" s="13" t="n">
        <f aca="false">IF(B8="",0,IF(ISNUMBER(FIND($D8,E$5)),1,0))</f>
        <v>0</v>
      </c>
      <c r="F8" s="13" t="n">
        <f aca="false">IF(B8="",0,IF(ISNUMBER(FIND($D8,F$5)),1,0))</f>
        <v>1</v>
      </c>
      <c r="G8" s="13" t="n">
        <f aca="false">IF(B8="",0,IF(ISNUMBER(FIND($D8,G$5)),1,0))</f>
        <v>1</v>
      </c>
      <c r="H8" s="13" t="n">
        <f aca="false">IF(B8="",0,IF(ISNUMBER(FIND($D8,H$5)),1,0))</f>
        <v>1</v>
      </c>
      <c r="I8" s="13" t="n">
        <f aca="false">IF(B8="",0,IF(ISNUMBER(FIND($D8,I$5)),1,0))</f>
        <v>1</v>
      </c>
      <c r="J8" s="13" t="n">
        <f aca="false">IF(B8="",0,IF(ISNUMBER(FIND($D8,J$5)),1,0))</f>
        <v>1</v>
      </c>
      <c r="K8" s="13" t="n">
        <f aca="false">IF(B8="",0,IF(ISNUMBER(FIND($D8,K$5)),1,0))</f>
        <v>0</v>
      </c>
    </row>
    <row r="9" customFormat="false" ht="15" hidden="false" customHeight="false" outlineLevel="0" collapsed="false">
      <c r="A9" s="12" t="s">
        <v>239</v>
      </c>
      <c r="B9" s="12" t="s">
        <v>240</v>
      </c>
      <c r="C9" s="12" t="s">
        <v>182</v>
      </c>
      <c r="D9" s="0" t="str">
        <f aca="false">" "&amp;B9&amp;IF(C9="word"," ","")</f>
        <v> staff augmentation</v>
      </c>
      <c r="E9" s="13" t="n">
        <f aca="false">IF(B9="",0,IF(ISNUMBER(FIND($D9,E$5)),1,0))</f>
        <v>0</v>
      </c>
      <c r="F9" s="13" t="n">
        <f aca="false">IF(B9="",0,IF(ISNUMBER(FIND($D9,F$5)),1,0))</f>
        <v>0</v>
      </c>
      <c r="G9" s="13" t="n">
        <f aca="false">IF(B9="",0,IF(ISNUMBER(FIND($D9,G$5)),1,0))</f>
        <v>0</v>
      </c>
      <c r="H9" s="13" t="n">
        <f aca="false">IF(B9="",0,IF(ISNUMBER(FIND($D9,H$5)),1,0))</f>
        <v>1</v>
      </c>
      <c r="I9" s="13" t="n">
        <f aca="false">IF(B9="",0,IF(ISNUMBER(FIND($D9,I$5)),1,0))</f>
        <v>1</v>
      </c>
      <c r="J9" s="13" t="n">
        <f aca="false">IF(B9="",0,IF(ISNUMBER(FIND($D9,J$5)),1,0))</f>
        <v>1</v>
      </c>
      <c r="K9" s="13" t="n">
        <f aca="false">IF(B9="",0,IF(ISNUMBER(FIND($D9,K$5)),1,0))</f>
        <v>0</v>
      </c>
    </row>
    <row r="10" customFormat="false" ht="15" hidden="false" customHeight="false" outlineLevel="0" collapsed="false">
      <c r="A10" s="12" t="s">
        <v>239</v>
      </c>
      <c r="B10" s="12" t="s">
        <v>241</v>
      </c>
      <c r="C10" s="12" t="s">
        <v>182</v>
      </c>
      <c r="D10" s="0" t="str">
        <f aca="false">" "&amp;B10&amp;IF(C10="word"," ","")</f>
        <v> team extension</v>
      </c>
      <c r="E10" s="13" t="n">
        <f aca="false">IF(B10="",0,IF(ISNUMBER(FIND($D10,E$5)),1,0))</f>
        <v>0</v>
      </c>
      <c r="F10" s="13" t="n">
        <f aca="false">IF(B10="",0,IF(ISNUMBER(FIND($D10,F$5)),1,0))</f>
        <v>0</v>
      </c>
      <c r="G10" s="13" t="n">
        <f aca="false">IF(B10="",0,IF(ISNUMBER(FIND($D10,G$5)),1,0))</f>
        <v>0</v>
      </c>
      <c r="H10" s="13" t="n">
        <f aca="false">IF(B10="",0,IF(ISNUMBER(FIND($D10,H$5)),1,0))</f>
        <v>0</v>
      </c>
      <c r="I10" s="13" t="n">
        <f aca="false">IF(B10="",0,IF(ISNUMBER(FIND($D10,I$5)),1,0))</f>
        <v>1</v>
      </c>
      <c r="J10" s="13" t="n">
        <f aca="false">IF(B10="",0,IF(ISNUMBER(FIND($D10,J$5)),1,0))</f>
        <v>0</v>
      </c>
      <c r="K10" s="13" t="n">
        <f aca="false">IF(B10="",0,IF(ISNUMBER(FIND($D10,K$5)),1,0))</f>
        <v>0</v>
      </c>
    </row>
    <row r="11" customFormat="false" ht="15" hidden="false" customHeight="false" outlineLevel="0" collapsed="false">
      <c r="A11" s="12" t="s">
        <v>242</v>
      </c>
      <c r="B11" s="12" t="s">
        <v>243</v>
      </c>
      <c r="C11" s="12" t="s">
        <v>182</v>
      </c>
      <c r="D11" s="0" t="str">
        <f aca="false">" "&amp;B11&amp;IF(C11="word"," ","")</f>
        <v> outcome</v>
      </c>
      <c r="E11" s="13" t="n">
        <f aca="false">IF(B11="",0,IF(ISNUMBER(FIND($D11,E$5)),1,0))</f>
        <v>1</v>
      </c>
      <c r="F11" s="13" t="n">
        <f aca="false">IF(B11="",0,IF(ISNUMBER(FIND($D11,F$5)),1,0))</f>
        <v>0</v>
      </c>
      <c r="G11" s="13" t="n">
        <f aca="false">IF(B11="",0,IF(ISNUMBER(FIND($D11,G$5)),1,0))</f>
        <v>0</v>
      </c>
      <c r="H11" s="13" t="n">
        <f aca="false">IF(B11="",0,IF(ISNUMBER(FIND($D11,H$5)),1,0))</f>
        <v>0</v>
      </c>
      <c r="I11" s="13" t="n">
        <f aca="false">IF(B11="",0,IF(ISNUMBER(FIND($D11,I$5)),1,0))</f>
        <v>0</v>
      </c>
      <c r="J11" s="13" t="n">
        <f aca="false">IF(B11="",0,IF(ISNUMBER(FIND($D11,J$5)),1,0))</f>
        <v>0</v>
      </c>
      <c r="K11" s="13" t="n">
        <f aca="false">IF(B11="",0,IF(ISNUMBER(FIND($D11,K$5)),1,0))</f>
        <v>0</v>
      </c>
    </row>
    <row r="12" customFormat="false" ht="15" hidden="false" customHeight="false" outlineLevel="0" collapsed="false">
      <c r="A12" s="12" t="s">
        <v>244</v>
      </c>
      <c r="B12" s="12" t="s">
        <v>245</v>
      </c>
      <c r="C12" s="12" t="s">
        <v>180</v>
      </c>
      <c r="D12" s="0" t="str">
        <f aca="false">" "&amp;B12&amp;IF(C12="word"," ","")</f>
        <v> outsourcing </v>
      </c>
      <c r="E12" s="13" t="n">
        <f aca="false">IF(B12="",0,IF(ISNUMBER(FIND($D12,E$5)),1,0))</f>
        <v>0</v>
      </c>
      <c r="F12" s="13" t="n">
        <f aca="false">IF(B12="",0,IF(ISNUMBER(FIND($D12,F$5)),1,0))</f>
        <v>1</v>
      </c>
      <c r="G12" s="13" t="n">
        <f aca="false">IF(B12="",0,IF(ISNUMBER(FIND($D12,G$5)),1,0))</f>
        <v>0</v>
      </c>
      <c r="H12" s="13" t="n">
        <f aca="false">IF(B12="",0,IF(ISNUMBER(FIND($D12,H$5)),1,0))</f>
        <v>0</v>
      </c>
      <c r="I12" s="13" t="n">
        <f aca="false">IF(B12="",0,IF(ISNUMBER(FIND($D12,I$5)),1,0))</f>
        <v>1</v>
      </c>
      <c r="J12" s="13" t="n">
        <f aca="false">IF(B12="",0,IF(ISNUMBER(FIND($D12,J$5)),1,0))</f>
        <v>0</v>
      </c>
      <c r="K12" s="13" t="n">
        <f aca="false">IF(B12="",0,IF(ISNUMBER(FIND($D12,K$5)),1,0))</f>
        <v>0</v>
      </c>
    </row>
    <row r="13" customFormat="false" ht="15" hidden="false" customHeight="false" outlineLevel="0" collapsed="false">
      <c r="A13" s="12" t="s">
        <v>244</v>
      </c>
      <c r="B13" s="12" t="s">
        <v>246</v>
      </c>
      <c r="C13" s="12" t="s">
        <v>180</v>
      </c>
      <c r="D13" s="0" t="str">
        <f aca="false">" "&amp;B13&amp;IF(C13="word"," ","")</f>
        <v> offshore </v>
      </c>
      <c r="E13" s="13" t="n">
        <f aca="false">IF(B13="",0,IF(ISNUMBER(FIND($D13,E$5)),1,0))</f>
        <v>0</v>
      </c>
      <c r="F13" s="13" t="n">
        <f aca="false">IF(B13="",0,IF(ISNUMBER(FIND($D13,F$5)),1,0))</f>
        <v>1</v>
      </c>
      <c r="G13" s="13" t="n">
        <f aca="false">IF(B13="",0,IF(ISNUMBER(FIND($D13,G$5)),1,0))</f>
        <v>0</v>
      </c>
      <c r="H13" s="13" t="n">
        <f aca="false">IF(B13="",0,IF(ISNUMBER(FIND($D13,H$5)),1,0))</f>
        <v>0</v>
      </c>
      <c r="I13" s="13" t="n">
        <f aca="false">IF(B13="",0,IF(ISNUMBER(FIND($D13,I$5)),1,0))</f>
        <v>0</v>
      </c>
      <c r="J13" s="13" t="n">
        <f aca="false">IF(B13="",0,IF(ISNUMBER(FIND($D13,J$5)),1,0))</f>
        <v>0</v>
      </c>
      <c r="K13" s="13" t="n">
        <f aca="false">IF(B13="",0,IF(ISNUMBER(FIND($D13,K$5)),1,0))</f>
        <v>0</v>
      </c>
    </row>
    <row r="14" customFormat="false" ht="15" hidden="false" customHeight="false" outlineLevel="0" collapsed="false">
      <c r="A14" s="12" t="s">
        <v>244</v>
      </c>
      <c r="B14" s="12" t="s">
        <v>247</v>
      </c>
      <c r="C14" s="12" t="s">
        <v>180</v>
      </c>
      <c r="D14" s="0" t="str">
        <f aca="false">" "&amp;B14&amp;IF(C14="word"," ","")</f>
        <v> nearshore </v>
      </c>
      <c r="E14" s="13" t="n">
        <f aca="false">IF(B14="",0,IF(ISNUMBER(FIND($D14,E$5)),1,0))</f>
        <v>0</v>
      </c>
      <c r="F14" s="13" t="n">
        <f aca="false">IF(B14="",0,IF(ISNUMBER(FIND($D14,F$5)),1,0))</f>
        <v>0</v>
      </c>
      <c r="G14" s="13" t="n">
        <f aca="false">IF(B14="",0,IF(ISNUMBER(FIND($D14,G$5)),1,0))</f>
        <v>0</v>
      </c>
      <c r="H14" s="13" t="n">
        <f aca="false">IF(B14="",0,IF(ISNUMBER(FIND($D14,H$5)),1,0))</f>
        <v>0</v>
      </c>
      <c r="I14" s="13" t="n">
        <f aca="false">IF(B14="",0,IF(ISNUMBER(FIND($D14,I$5)),1,0))</f>
        <v>1</v>
      </c>
      <c r="J14" s="13" t="n">
        <f aca="false">IF(B14="",0,IF(ISNUMBER(FIND($D14,J$5)),1,0))</f>
        <v>0</v>
      </c>
      <c r="K14" s="13" t="n">
        <f aca="false">IF(B14="",0,IF(ISNUMBER(FIND($D14,K$5)),1,0))</f>
        <v>0</v>
      </c>
    </row>
    <row r="15" customFormat="false" ht="15" hidden="false" customHeight="false" outlineLevel="0" collapsed="false">
      <c r="A15" s="12" t="s">
        <v>248</v>
      </c>
      <c r="B15" s="12" t="s">
        <v>249</v>
      </c>
      <c r="C15" s="12" t="s">
        <v>180</v>
      </c>
      <c r="D15" s="0" t="str">
        <f aca="false">" "&amp;B15&amp;IF(C15="word"," ","")</f>
        <v> managed </v>
      </c>
      <c r="E15" s="13" t="n">
        <f aca="false">IF(B15="",0,IF(ISNUMBER(FIND($D15,E$5)),1,0))</f>
        <v>0</v>
      </c>
      <c r="F15" s="13" t="n">
        <f aca="false">IF(B15="",0,IF(ISNUMBER(FIND($D15,F$5)),1,0))</f>
        <v>1</v>
      </c>
      <c r="G15" s="13" t="n">
        <f aca="false">IF(B15="",0,IF(ISNUMBER(FIND($D15,G$5)),1,0))</f>
        <v>0</v>
      </c>
      <c r="H15" s="13" t="n">
        <f aca="false">IF(B15="",0,IF(ISNUMBER(FIND($D15,H$5)),1,0))</f>
        <v>0</v>
      </c>
      <c r="I15" s="13" t="n">
        <f aca="false">IF(B15="",0,IF(ISNUMBER(FIND($D15,I$5)),1,0))</f>
        <v>0</v>
      </c>
      <c r="J15" s="13" t="n">
        <f aca="false">IF(B15="",0,IF(ISNUMBER(FIND($D15,J$5)),1,0))</f>
        <v>0</v>
      </c>
      <c r="K15" s="13" t="n">
        <f aca="false">IF(B15="",0,IF(ISNUMBER(FIND($D15,K$5)),1,0))</f>
        <v>0</v>
      </c>
    </row>
    <row r="17" customFormat="false" ht="41.75" hidden="false" customHeight="false" outlineLevel="0" collapsed="false">
      <c r="A17" s="11" t="s">
        <v>207</v>
      </c>
      <c r="B17" s="11"/>
      <c r="C17" s="11"/>
      <c r="D17" s="11" t="s">
        <v>208</v>
      </c>
      <c r="E17" s="11" t="s">
        <v>9</v>
      </c>
      <c r="F17" s="11" t="s">
        <v>65</v>
      </c>
      <c r="G17" s="11" t="s">
        <v>77</v>
      </c>
      <c r="H17" s="11" t="s">
        <v>88</v>
      </c>
      <c r="I17" s="11" t="s">
        <v>103</v>
      </c>
      <c r="J17" s="11" t="s">
        <v>114</v>
      </c>
      <c r="K17" s="11" t="s">
        <v>127</v>
      </c>
    </row>
    <row r="18" customFormat="false" ht="15" hidden="false" customHeight="false" outlineLevel="0" collapsed="false">
      <c r="A18" s="0" t="s">
        <v>233</v>
      </c>
      <c r="D18" s="0" t="n">
        <f aca="false">SUM(E18:K18)</f>
        <v>2</v>
      </c>
      <c r="E18" s="0" t="n">
        <f aca="false">IF(SUMIF($A$6:$A$15,$A18,E$6:E$15)&gt;0,1,0)</f>
        <v>0</v>
      </c>
      <c r="F18" s="0" t="n">
        <f aca="false">IF(SUMIF($A$6:$A$15,$A18,F$6:F$15)&gt;0,1,0)</f>
        <v>0</v>
      </c>
      <c r="G18" s="0" t="n">
        <f aca="false">IF(SUMIF($A$6:$A$15,$A18,G$6:G$15)&gt;0,1,0)</f>
        <v>1</v>
      </c>
      <c r="H18" s="0" t="n">
        <f aca="false">IF(SUMIF($A$6:$A$15,$A18,H$6:H$15)&gt;0,1,0)</f>
        <v>1</v>
      </c>
      <c r="I18" s="0" t="n">
        <f aca="false">IF(SUMIF($A$6:$A$15,$A18,I$6:I$15)&gt;0,1,0)</f>
        <v>0</v>
      </c>
      <c r="J18" s="0" t="n">
        <f aca="false">IF(SUMIF($A$6:$A$15,$A18,J$6:J$15)&gt;0,1,0)</f>
        <v>0</v>
      </c>
      <c r="K18" s="0" t="n">
        <f aca="false">IF(SUMIF($A$6:$A$15,$A18,K$6:K$15)&gt;0,1,0)</f>
        <v>0</v>
      </c>
    </row>
    <row r="19" customFormat="false" ht="15" hidden="false" customHeight="false" outlineLevel="0" collapsed="false">
      <c r="A19" s="0" t="s">
        <v>235</v>
      </c>
      <c r="D19" s="0" t="n">
        <f aca="false">SUM(E19:K19)</f>
        <v>1</v>
      </c>
      <c r="E19" s="0" t="n">
        <f aca="false">IF(SUMIF($A$6:$A$15,$A19,E$6:E$15)&gt;0,1,0)</f>
        <v>0</v>
      </c>
      <c r="F19" s="0" t="n">
        <f aca="false">IF(SUMIF($A$6:$A$15,$A19,F$6:F$15)&gt;0,1,0)</f>
        <v>0</v>
      </c>
      <c r="G19" s="0" t="n">
        <f aca="false">IF(SUMIF($A$6:$A$15,$A19,G$6:G$15)&gt;0,1,0)</f>
        <v>1</v>
      </c>
      <c r="H19" s="0" t="n">
        <f aca="false">IF(SUMIF($A$6:$A$15,$A19,H$6:H$15)&gt;0,1,0)</f>
        <v>0</v>
      </c>
      <c r="I19" s="0" t="n">
        <f aca="false">IF(SUMIF($A$6:$A$15,$A19,I$6:I$15)&gt;0,1,0)</f>
        <v>0</v>
      </c>
      <c r="J19" s="0" t="n">
        <f aca="false">IF(SUMIF($A$6:$A$15,$A19,J$6:J$15)&gt;0,1,0)</f>
        <v>0</v>
      </c>
      <c r="K19" s="0" t="n">
        <f aca="false">IF(SUMIF($A$6:$A$15,$A19,K$6:K$15)&gt;0,1,0)</f>
        <v>0</v>
      </c>
    </row>
    <row r="20" customFormat="false" ht="15" hidden="false" customHeight="false" outlineLevel="0" collapsed="false">
      <c r="A20" s="0" t="s">
        <v>237</v>
      </c>
      <c r="D20" s="0" t="n">
        <f aca="false">SUM(E20:K20)</f>
        <v>5</v>
      </c>
      <c r="E20" s="0" t="n">
        <f aca="false">IF(SUMIF($A$6:$A$15,$A20,E$6:E$15)&gt;0,1,0)</f>
        <v>0</v>
      </c>
      <c r="F20" s="0" t="n">
        <f aca="false">IF(SUMIF($A$6:$A$15,$A20,F$6:F$15)&gt;0,1,0)</f>
        <v>1</v>
      </c>
      <c r="G20" s="0" t="n">
        <f aca="false">IF(SUMIF($A$6:$A$15,$A20,G$6:G$15)&gt;0,1,0)</f>
        <v>1</v>
      </c>
      <c r="H20" s="0" t="n">
        <f aca="false">IF(SUMIF($A$6:$A$15,$A20,H$6:H$15)&gt;0,1,0)</f>
        <v>1</v>
      </c>
      <c r="I20" s="0" t="n">
        <f aca="false">IF(SUMIF($A$6:$A$15,$A20,I$6:I$15)&gt;0,1,0)</f>
        <v>1</v>
      </c>
      <c r="J20" s="0" t="n">
        <f aca="false">IF(SUMIF($A$6:$A$15,$A20,J$6:J$15)&gt;0,1,0)</f>
        <v>1</v>
      </c>
      <c r="K20" s="0" t="n">
        <f aca="false">IF(SUMIF($A$6:$A$15,$A20,K$6:K$15)&gt;0,1,0)</f>
        <v>0</v>
      </c>
    </row>
    <row r="21" customFormat="false" ht="15" hidden="false" customHeight="false" outlineLevel="0" collapsed="false">
      <c r="A21" s="0" t="s">
        <v>239</v>
      </c>
      <c r="D21" s="0" t="n">
        <f aca="false">SUM(E21:K21)</f>
        <v>3</v>
      </c>
      <c r="E21" s="0" t="n">
        <f aca="false">IF(SUMIF($A$6:$A$15,$A21,E$6:E$15)&gt;0,1,0)</f>
        <v>0</v>
      </c>
      <c r="F21" s="0" t="n">
        <f aca="false">IF(SUMIF($A$6:$A$15,$A21,F$6:F$15)&gt;0,1,0)</f>
        <v>0</v>
      </c>
      <c r="G21" s="0" t="n">
        <f aca="false">IF(SUMIF($A$6:$A$15,$A21,G$6:G$15)&gt;0,1,0)</f>
        <v>0</v>
      </c>
      <c r="H21" s="0" t="n">
        <f aca="false">IF(SUMIF($A$6:$A$15,$A21,H$6:H$15)&gt;0,1,0)</f>
        <v>1</v>
      </c>
      <c r="I21" s="0" t="n">
        <f aca="false">IF(SUMIF($A$6:$A$15,$A21,I$6:I$15)&gt;0,1,0)</f>
        <v>1</v>
      </c>
      <c r="J21" s="0" t="n">
        <f aca="false">IF(SUMIF($A$6:$A$15,$A21,J$6:J$15)&gt;0,1,0)</f>
        <v>1</v>
      </c>
      <c r="K21" s="0" t="n">
        <f aca="false">IF(SUMIF($A$6:$A$15,$A21,K$6:K$15)&gt;0,1,0)</f>
        <v>0</v>
      </c>
    </row>
    <row r="22" customFormat="false" ht="15" hidden="false" customHeight="false" outlineLevel="0" collapsed="false">
      <c r="A22" s="0" t="s">
        <v>242</v>
      </c>
      <c r="D22" s="0" t="n">
        <f aca="false">SUM(E22:K22)</f>
        <v>1</v>
      </c>
      <c r="E22" s="0" t="n">
        <f aca="false">IF(SUMIF($A$6:$A$15,$A22,E$6:E$15)&gt;0,1,0)</f>
        <v>1</v>
      </c>
      <c r="F22" s="0" t="n">
        <f aca="false">IF(SUMIF($A$6:$A$15,$A22,F$6:F$15)&gt;0,1,0)</f>
        <v>0</v>
      </c>
      <c r="G22" s="0" t="n">
        <f aca="false">IF(SUMIF($A$6:$A$15,$A22,G$6:G$15)&gt;0,1,0)</f>
        <v>0</v>
      </c>
      <c r="H22" s="0" t="n">
        <f aca="false">IF(SUMIF($A$6:$A$15,$A22,H$6:H$15)&gt;0,1,0)</f>
        <v>0</v>
      </c>
      <c r="I22" s="0" t="n">
        <f aca="false">IF(SUMIF($A$6:$A$15,$A22,I$6:I$15)&gt;0,1,0)</f>
        <v>0</v>
      </c>
      <c r="J22" s="0" t="n">
        <f aca="false">IF(SUMIF($A$6:$A$15,$A22,J$6:J$15)&gt;0,1,0)</f>
        <v>0</v>
      </c>
      <c r="K22" s="0" t="n">
        <f aca="false">IF(SUMIF($A$6:$A$15,$A22,K$6:K$15)&gt;0,1,0)</f>
        <v>0</v>
      </c>
    </row>
    <row r="23" customFormat="false" ht="15" hidden="false" customHeight="false" outlineLevel="0" collapsed="false">
      <c r="A23" s="0" t="s">
        <v>244</v>
      </c>
      <c r="D23" s="0" t="n">
        <f aca="false">SUM(E23:K23)</f>
        <v>2</v>
      </c>
      <c r="E23" s="0" t="n">
        <f aca="false">IF(SUMIF($A$6:$A$15,$A23,E$6:E$15)&gt;0,1,0)</f>
        <v>0</v>
      </c>
      <c r="F23" s="0" t="n">
        <f aca="false">IF(SUMIF($A$6:$A$15,$A23,F$6:F$15)&gt;0,1,0)</f>
        <v>1</v>
      </c>
      <c r="G23" s="0" t="n">
        <f aca="false">IF(SUMIF($A$6:$A$15,$A23,G$6:G$15)&gt;0,1,0)</f>
        <v>0</v>
      </c>
      <c r="H23" s="0" t="n">
        <f aca="false">IF(SUMIF($A$6:$A$15,$A23,H$6:H$15)&gt;0,1,0)</f>
        <v>0</v>
      </c>
      <c r="I23" s="0" t="n">
        <f aca="false">IF(SUMIF($A$6:$A$15,$A23,I$6:I$15)&gt;0,1,0)</f>
        <v>1</v>
      </c>
      <c r="J23" s="0" t="n">
        <f aca="false">IF(SUMIF($A$6:$A$15,$A23,J$6:J$15)&gt;0,1,0)</f>
        <v>0</v>
      </c>
      <c r="K23" s="0" t="n">
        <f aca="false">IF(SUMIF($A$6:$A$15,$A23,K$6:K$15)&gt;0,1,0)</f>
        <v>0</v>
      </c>
    </row>
    <row r="24" customFormat="false" ht="15" hidden="false" customHeight="false" outlineLevel="0" collapsed="false">
      <c r="A24" s="0" t="s">
        <v>248</v>
      </c>
      <c r="D24" s="0" t="n">
        <f aca="false">SUM(E24:K24)</f>
        <v>1</v>
      </c>
      <c r="E24" s="0" t="n">
        <f aca="false">IF(SUMIF($A$6:$A$15,$A24,E$6:E$15)&gt;0,1,0)</f>
        <v>0</v>
      </c>
      <c r="F24" s="0" t="n">
        <f aca="false">IF(SUMIF($A$6:$A$15,$A24,F$6:F$15)&gt;0,1,0)</f>
        <v>1</v>
      </c>
      <c r="G24" s="0" t="n">
        <f aca="false">IF(SUMIF($A$6:$A$15,$A24,G$6:G$15)&gt;0,1,0)</f>
        <v>0</v>
      </c>
      <c r="H24" s="0" t="n">
        <f aca="false">IF(SUMIF($A$6:$A$15,$A24,H$6:H$15)&gt;0,1,0)</f>
        <v>0</v>
      </c>
      <c r="I24" s="0" t="n">
        <f aca="false">IF(SUMIF($A$6:$A$15,$A24,I$6:I$15)&gt;0,1,0)</f>
        <v>0</v>
      </c>
      <c r="J24" s="0" t="n">
        <f aca="false">IF(SUMIF($A$6:$A$15,$A24,J$6:J$15)&gt;0,1,0)</f>
        <v>0</v>
      </c>
      <c r="K24" s="0" t="n">
        <f aca="false">IF(SUMIF($A$6:$A$15,$A24,K$6:K$15)&gt;0,1,0)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6"/>
  </cols>
  <sheetData>
    <row r="1" customFormat="false" ht="16.15" hidden="false" customHeight="false" outlineLevel="0" collapsed="false">
      <c r="A1" s="10" t="s">
        <v>250</v>
      </c>
    </row>
    <row r="3" customFormat="false" ht="28.35" hidden="false" customHeight="false" outlineLevel="0" collapsed="false">
      <c r="A3" s="11" t="s">
        <v>251</v>
      </c>
      <c r="B3" s="11" t="s">
        <v>11</v>
      </c>
      <c r="C3" s="11" t="s">
        <v>12</v>
      </c>
      <c r="D3" s="11" t="s">
        <v>252</v>
      </c>
      <c r="E3" s="11" t="s">
        <v>15</v>
      </c>
      <c r="F3" s="11" t="s">
        <v>253</v>
      </c>
      <c r="G3" s="11" t="s">
        <v>14</v>
      </c>
      <c r="H3" s="11" t="s">
        <v>13</v>
      </c>
      <c r="I3" s="11" t="s">
        <v>254</v>
      </c>
      <c r="J3" s="11" t="s">
        <v>255</v>
      </c>
    </row>
    <row r="4" customFormat="false" ht="15" hidden="false" customHeight="false" outlineLevel="0" collapsed="false">
      <c r="A4" s="0" t="str">
        <f aca="false">Brands!$A$2</f>
        <v>Simform</v>
      </c>
      <c r="B4" s="0" t="n">
        <f aca="false">IF(Brands!$F$2="",0,LEN(Brands!$F$2)-LEN(SUBSTITUTE(Brands!$F$2,";",""))+1)</f>
        <v>5</v>
      </c>
      <c r="C4" s="0" t="n">
        <f aca="false">IF(Brands!$G$2="",0,LEN(Brands!$G$2)-LEN(SUBSTITUTE(Brands!$G$2,";",""))+1)</f>
        <v>1</v>
      </c>
      <c r="D4" s="0" t="n">
        <f aca="false">IF(Brands!$K$2="",0,LEN(Brands!$K$2)-LEN(SUBSTITUTE(Brands!$K$2,";",""))+1)</f>
        <v>4</v>
      </c>
      <c r="E4" s="0" t="n">
        <f aca="false">IF(Brands!$P$2="",0,LEN(Brands!$P$2)-LEN(SUBSTITUTE(Brands!$P$2,";",""))+1)</f>
        <v>10</v>
      </c>
      <c r="F4" s="0" t="n">
        <f aca="false">IF(Brands!$Q$2="",0,LEN(Brands!$Q$2)-LEN(SUBSTITUTE(Brands!$Q$2,";",""))+1)</f>
        <v>1</v>
      </c>
      <c r="G4" s="0" t="n">
        <f aca="false">IF(Brands!$S$2="Yes",1,IF(Brands!$S$2="Partial",0.5,0))+IF(Brands!$T$2="Yes",1,IF(Brands!$T$2="Partial",0.5,0))+IF(Brands!$U$2="Yes",1,IF(Brands!$U$2="Partial",0.5,0))+IF(Brands!$V$2="Yes",1,IF(Brands!$V$2="Partial",0.5,0))+IF(Brands!$W$2="Yes",1,IF(Brands!$W$2="Partial",0.5,0))+IF(Brands!$X$2="Yes",1,IF(Brands!$X$2="Partial",0.5,0))</f>
        <v>6</v>
      </c>
      <c r="H4" s="0" t="str">
        <f aca="false">IF(Brands!$I$2="","No","Yes")</f>
        <v>No</v>
      </c>
      <c r="I4" s="0" t="str">
        <f aca="false">IF(Brands!$L$2="","",Brands!$L$2)</f>
        <v/>
      </c>
      <c r="J4" s="0" t="str">
        <f aca="false">IF(Brands!$M$2="","",Brands!$M$2)</f>
        <v/>
      </c>
    </row>
    <row r="5" customFormat="false" ht="15" hidden="false" customHeight="false" outlineLevel="0" collapsed="false">
      <c r="A5" s="0" t="str">
        <f aca="false">Brands!$A$3</f>
        <v>Appinventiv</v>
      </c>
      <c r="B5" s="0" t="n">
        <f aca="false">IF(Brands!$F$3="",0,LEN(Brands!$F$3)-LEN(SUBSTITUTE(Brands!$F$3,";",""))+1)</f>
        <v>31</v>
      </c>
      <c r="C5" s="0" t="n">
        <f aca="false">IF(Brands!$G$3="",0,LEN(Brands!$G$3)-LEN(SUBSTITUTE(Brands!$G$3,";",""))+1)</f>
        <v>4</v>
      </c>
      <c r="D5" s="0" t="n">
        <f aca="false">IF(Brands!$K$3="",0,LEN(Brands!$K$3)-LEN(SUBSTITUTE(Brands!$K$3,";",""))+1)</f>
        <v>6</v>
      </c>
      <c r="E5" s="0" t="n">
        <f aca="false">IF(Brands!$P$3="",0,LEN(Brands!$P$3)-LEN(SUBSTITUTE(Brands!$P$3,";",""))+1)</f>
        <v>3</v>
      </c>
      <c r="F5" s="0" t="n">
        <f aca="false">IF(Brands!$Q$3="",0,LEN(Brands!$Q$3)-LEN(SUBSTITUTE(Brands!$Q$3,";",""))+1)</f>
        <v>15</v>
      </c>
      <c r="G5" s="0" t="n">
        <f aca="false">IF(Brands!$S$3="Yes",1,IF(Brands!$S$3="Partial",0.5,0))+IF(Brands!$T$3="Yes",1,IF(Brands!$T$3="Partial",0.5,0))+IF(Brands!$U$3="Yes",1,IF(Brands!$U$3="Partial",0.5,0))+IF(Brands!$V$3="Yes",1,IF(Brands!$V$3="Partial",0.5,0))+IF(Brands!$W$3="Yes",1,IF(Brands!$W$3="Partial",0.5,0))+IF(Brands!$X$3="Yes",1,IF(Brands!$X$3="Partial",0.5,0))</f>
        <v>4</v>
      </c>
      <c r="H5" s="0" t="str">
        <f aca="false">IF(Brands!$I$3="","No","Yes")</f>
        <v>No</v>
      </c>
      <c r="I5" s="0" t="n">
        <f aca="false">IF(Brands!$L$3="","",Brands!$L$3)</f>
        <v>11</v>
      </c>
      <c r="J5" s="0" t="n">
        <f aca="false">IF(Brands!$M$3="","",Brands!$M$3)</f>
        <v>1700</v>
      </c>
    </row>
    <row r="6" customFormat="false" ht="15" hidden="false" customHeight="false" outlineLevel="0" collapsed="false">
      <c r="A6" s="0" t="str">
        <f aca="false">Brands!$A$4</f>
        <v>Hyperlink InfoSystem</v>
      </c>
      <c r="B6" s="0" t="n">
        <f aca="false">IF(Brands!$F$4="",0,LEN(Brands!$F$4)-LEN(SUBSTITUTE(Brands!$F$4,";",""))+1)</f>
        <v>13</v>
      </c>
      <c r="C6" s="0" t="n">
        <f aca="false">IF(Brands!$G$4="",0,LEN(Brands!$G$4)-LEN(SUBSTITUTE(Brands!$G$4,";",""))+1)</f>
        <v>3</v>
      </c>
      <c r="D6" s="0" t="n">
        <f aca="false">IF(Brands!$K$4="",0,LEN(Brands!$K$4)-LEN(SUBSTITUTE(Brands!$K$4,";",""))+1)</f>
        <v>7</v>
      </c>
      <c r="E6" s="0" t="n">
        <f aca="false">IF(Brands!$P$4="",0,LEN(Brands!$P$4)-LEN(SUBSTITUTE(Brands!$P$4,";",""))+1)</f>
        <v>4</v>
      </c>
      <c r="F6" s="0" t="n">
        <f aca="false">IF(Brands!$Q$4="",0,LEN(Brands!$Q$4)-LEN(SUBSTITUTE(Brands!$Q$4,";",""))+1)</f>
        <v>1</v>
      </c>
      <c r="G6" s="0" t="n">
        <f aca="false">IF(Brands!$S$4="Yes",1,IF(Brands!$S$4="Partial",0.5,0))+IF(Brands!$T$4="Yes",1,IF(Brands!$T$4="Partial",0.5,0))+IF(Brands!$U$4="Yes",1,IF(Brands!$U$4="Partial",0.5,0))+IF(Brands!$V$4="Yes",1,IF(Brands!$V$4="Partial",0.5,0))+IF(Brands!$W$4="Yes",1,IF(Brands!$W$4="Partial",0.5,0))+IF(Brands!$X$4="Yes",1,IF(Brands!$X$4="Partial",0.5,0))</f>
        <v>6</v>
      </c>
      <c r="H6" s="0" t="str">
        <f aca="false">IF(Brands!$I$4="","No","Yes")</f>
        <v>No</v>
      </c>
      <c r="I6" s="0" t="n">
        <f aca="false">IF(Brands!$L$4="","",Brands!$L$4)</f>
        <v>14</v>
      </c>
      <c r="J6" s="0" t="n">
        <f aca="false">IF(Brands!$M$4="","",Brands!$M$4)</f>
        <v>1200</v>
      </c>
    </row>
    <row r="7" customFormat="false" ht="15" hidden="false" customHeight="false" outlineLevel="0" collapsed="false">
      <c r="A7" s="0" t="str">
        <f aca="false">Brands!$A$5</f>
        <v>Space-O (healthcare site)</v>
      </c>
      <c r="B7" s="0" t="n">
        <f aca="false">IF(Brands!$F$5="",0,LEN(Brands!$F$5)-LEN(SUBSTITUTE(Brands!$F$5,";",""))+1)</f>
        <v>4</v>
      </c>
      <c r="C7" s="0" t="n">
        <f aca="false">IF(Brands!$G$5="",0,LEN(Brands!$G$5)-LEN(SUBSTITUTE(Brands!$G$5,";",""))+1)</f>
        <v>3</v>
      </c>
      <c r="D7" s="0" t="n">
        <f aca="false">IF(Brands!$K$5="",0,LEN(Brands!$K$5)-LEN(SUBSTITUTE(Brands!$K$5,";",""))+1)</f>
        <v>5</v>
      </c>
      <c r="E7" s="0" t="n">
        <f aca="false">IF(Brands!$P$5="",0,LEN(Brands!$P$5)-LEN(SUBSTITUTE(Brands!$P$5,";",""))+1)</f>
        <v>3</v>
      </c>
      <c r="F7" s="0" t="n">
        <f aca="false">IF(Brands!$Q$5="",0,LEN(Brands!$Q$5)-LEN(SUBSTITUTE(Brands!$Q$5,";",""))+1)</f>
        <v>5</v>
      </c>
      <c r="G7" s="0" t="n">
        <f aca="false">IF(Brands!$S$5="Yes",1,IF(Brands!$S$5="Partial",0.5,0))+IF(Brands!$T$5="Yes",1,IF(Brands!$T$5="Partial",0.5,0))+IF(Brands!$U$5="Yes",1,IF(Brands!$U$5="Partial",0.5,0))+IF(Brands!$V$5="Yes",1,IF(Brands!$V$5="Partial",0.5,0))+IF(Brands!$W$5="Yes",1,IF(Brands!$W$5="Partial",0.5,0))+IF(Brands!$X$5="Yes",1,IF(Brands!$X$5="Partial",0.5,0))</f>
        <v>3</v>
      </c>
      <c r="H7" s="0" t="str">
        <f aca="false">IF(Brands!$I$5="","No","Yes")</f>
        <v>Yes</v>
      </c>
      <c r="I7" s="0" t="str">
        <f aca="false">IF(Brands!$L$5="","",Brands!$L$5)</f>
        <v/>
      </c>
      <c r="J7" s="0" t="n">
        <f aca="false">IF(Brands!$M$5="","",Brands!$M$5)</f>
        <v>50</v>
      </c>
    </row>
    <row r="8" customFormat="false" ht="15" hidden="false" customHeight="false" outlineLevel="0" collapsed="false">
      <c r="A8" s="0" t="str">
        <f aca="false">Brands!$A$6</f>
        <v>Intellectsoft</v>
      </c>
      <c r="B8" s="0" t="n">
        <f aca="false">IF(Brands!$F$6="",0,LEN(Brands!$F$6)-LEN(SUBSTITUTE(Brands!$F$6,";",""))+1)</f>
        <v>7</v>
      </c>
      <c r="C8" s="0" t="n">
        <f aca="false">IF(Brands!$G$6="",0,LEN(Brands!$G$6)-LEN(SUBSTITUTE(Brands!$G$6,";",""))+1)</f>
        <v>6</v>
      </c>
      <c r="D8" s="0" t="n">
        <f aca="false">IF(Brands!$K$6="",0,LEN(Brands!$K$6)-LEN(SUBSTITUTE(Brands!$K$6,";",""))+1)</f>
        <v>6</v>
      </c>
      <c r="E8" s="0" t="n">
        <f aca="false">IF(Brands!$P$6="",0,LEN(Brands!$P$6)-LEN(SUBSTITUTE(Brands!$P$6,";",""))+1)</f>
        <v>5</v>
      </c>
      <c r="F8" s="0" t="n">
        <f aca="false">IF(Brands!$Q$6="",0,LEN(Brands!$Q$6)-LEN(SUBSTITUTE(Brands!$Q$6,";",""))+1)</f>
        <v>4</v>
      </c>
      <c r="G8" s="0" t="n">
        <f aca="false">IF(Brands!$S$6="Yes",1,IF(Brands!$S$6="Partial",0.5,0))+IF(Brands!$T$6="Yes",1,IF(Brands!$T$6="Partial",0.5,0))+IF(Brands!$U$6="Yes",1,IF(Brands!$U$6="Partial",0.5,0))+IF(Brands!$V$6="Yes",1,IF(Brands!$V$6="Partial",0.5,0))+IF(Brands!$W$6="Yes",1,IF(Brands!$W$6="Partial",0.5,0))+IF(Brands!$X$6="Yes",1,IF(Brands!$X$6="Partial",0.5,0))</f>
        <v>4</v>
      </c>
      <c r="H8" s="0" t="str">
        <f aca="false">IF(Brands!$I$6="","No","Yes")</f>
        <v>No</v>
      </c>
      <c r="I8" s="0" t="n">
        <f aca="false">IF(Brands!$L$6="","",Brands!$L$6)</f>
        <v>19</v>
      </c>
      <c r="J8" s="0" t="str">
        <f aca="false">IF(Brands!$M$6="","",Brands!$M$6)</f>
        <v/>
      </c>
    </row>
    <row r="9" customFormat="false" ht="15" hidden="false" customHeight="false" outlineLevel="0" collapsed="false">
      <c r="A9" s="0" t="str">
        <f aca="false">Brands!$A$7</f>
        <v>Netguru</v>
      </c>
      <c r="B9" s="0" t="n">
        <f aca="false">IF(Brands!$F$7="",0,LEN(Brands!$F$7)-LEN(SUBSTITUTE(Brands!$F$7,";",""))+1)</f>
        <v>5</v>
      </c>
      <c r="C9" s="0" t="n">
        <f aca="false">IF(Brands!$G$7="",0,LEN(Brands!$G$7)-LEN(SUBSTITUTE(Brands!$G$7,";",""))+1)</f>
        <v>3</v>
      </c>
      <c r="D9" s="0" t="n">
        <f aca="false">IF(Brands!$K$7="",0,LEN(Brands!$K$7)-LEN(SUBSTITUTE(Brands!$K$7,";",""))+1)</f>
        <v>3</v>
      </c>
      <c r="E9" s="0" t="n">
        <f aca="false">IF(Brands!$P$7="",0,LEN(Brands!$P$7)-LEN(SUBSTITUTE(Brands!$P$7,";",""))+1)</f>
        <v>4</v>
      </c>
      <c r="F9" s="0" t="n">
        <f aca="false">IF(Brands!$Q$7="",0,LEN(Brands!$Q$7)-LEN(SUBSTITUTE(Brands!$Q$7,";",""))+1)</f>
        <v>2</v>
      </c>
      <c r="G9" s="0" t="n">
        <f aca="false">IF(Brands!$S$7="Yes",1,IF(Brands!$S$7="Partial",0.5,0))+IF(Brands!$T$7="Yes",1,IF(Brands!$T$7="Partial",0.5,0))+IF(Brands!$U$7="Yes",1,IF(Brands!$U$7="Partial",0.5,0))+IF(Brands!$V$7="Yes",1,IF(Brands!$V$7="Partial",0.5,0))+IF(Brands!$W$7="Yes",1,IF(Brands!$W$7="Partial",0.5,0))+IF(Brands!$X$7="Yes",1,IF(Brands!$X$7="Partial",0.5,0))</f>
        <v>5</v>
      </c>
      <c r="H9" s="0" t="str">
        <f aca="false">IF(Brands!$I$7="","No","Yes")</f>
        <v>No</v>
      </c>
      <c r="I9" s="0" t="n">
        <f aca="false">IF(Brands!$L$7="","",Brands!$L$7)</f>
        <v>17</v>
      </c>
      <c r="J9" s="0" t="n">
        <f aca="false">IF(Brands!$M$7="","",Brands!$M$7)</f>
        <v>400</v>
      </c>
    </row>
    <row r="10" customFormat="false" ht="15" hidden="false" customHeight="false" outlineLevel="0" collapsed="false">
      <c r="A10" s="0" t="str">
        <f aca="false">Brands!$A$8</f>
        <v>Thoughtworks</v>
      </c>
      <c r="B10" s="0" t="n">
        <f aca="false">IF(Brands!$F$8="",0,LEN(Brands!$F$8)-LEN(SUBSTITUTE(Brands!$F$8,";",""))+1)</f>
        <v>11</v>
      </c>
      <c r="C10" s="0" t="n">
        <f aca="false">IF(Brands!$G$8="",0,LEN(Brands!$G$8)-LEN(SUBSTITUTE(Brands!$G$8,";",""))+1)</f>
        <v>0</v>
      </c>
      <c r="D10" s="0" t="n">
        <f aca="false">IF(Brands!$K$8="",0,LEN(Brands!$K$8)-LEN(SUBSTITUTE(Brands!$K$8,";",""))+1)</f>
        <v>5</v>
      </c>
      <c r="E10" s="0" t="n">
        <f aca="false">IF(Brands!$P$8="",0,LEN(Brands!$P$8)-LEN(SUBSTITUTE(Brands!$P$8,";",""))+1)</f>
        <v>5</v>
      </c>
      <c r="F10" s="0" t="n">
        <f aca="false">IF(Brands!$Q$8="",0,LEN(Brands!$Q$8)-LEN(SUBSTITUTE(Brands!$Q$8,";",""))+1)</f>
        <v>0</v>
      </c>
      <c r="G10" s="0" t="n">
        <f aca="false">IF(Brands!$S$8="Yes",1,IF(Brands!$S$8="Partial",0.5,0))+IF(Brands!$T$8="Yes",1,IF(Brands!$T$8="Partial",0.5,0))+IF(Brands!$U$8="Yes",1,IF(Brands!$U$8="Partial",0.5,0))+IF(Brands!$V$8="Yes",1,IF(Brands!$V$8="Partial",0.5,0))+IF(Brands!$W$8="Yes",1,IF(Brands!$W$8="Partial",0.5,0))+IF(Brands!$X$8="Yes",1,IF(Brands!$X$8="Partial",0.5,0))</f>
        <v>3.5</v>
      </c>
      <c r="H10" s="0" t="str">
        <f aca="false">IF(Brands!$I$8="","No","Yes")</f>
        <v>No</v>
      </c>
      <c r="I10" s="0" t="str">
        <f aca="false">IF(Brands!$L$8="","",Brands!$L$8)</f>
        <v/>
      </c>
      <c r="J10" s="0" t="str">
        <f aca="false">IF(Brands!$M$8="","",Brands!$M$8)</f>
        <v/>
      </c>
    </row>
    <row r="12" customFormat="false" ht="15" hidden="false" customHeight="false" outlineLevel="0" collapsed="false">
      <c r="A12" s="4" t="s">
        <v>256</v>
      </c>
      <c r="B12" s="13" t="n">
        <f aca="false">MEDIAN(B4:B10)</f>
        <v>7</v>
      </c>
    </row>
    <row r="13" customFormat="false" ht="15" hidden="false" customHeight="false" outlineLevel="0" collapsed="false">
      <c r="A13" s="4" t="s">
        <v>257</v>
      </c>
      <c r="B13" s="13" t="n">
        <f aca="false">MEDIAN(G4:G10)</f>
        <v>4</v>
      </c>
    </row>
    <row r="14" customFormat="false" ht="15" hidden="false" customHeight="false" outlineLevel="0" collapsed="false">
      <c r="A14" s="4" t="s">
        <v>258</v>
      </c>
      <c r="B14" s="13" t="n">
        <f aca="false">MEDIAN(E4:E10)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52"/>
    <col collapsed="false" customWidth="true" hidden="false" outlineLevel="0" max="5" min="4" style="0" width="40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10" t="s">
        <v>259</v>
      </c>
    </row>
    <row r="2" customFormat="false" ht="15" hidden="false" customHeight="false" outlineLevel="0" collapsed="false">
      <c r="A2" s="0" t="s">
        <v>260</v>
      </c>
    </row>
    <row r="4" customFormat="false" ht="15" hidden="false" customHeight="false" outlineLevel="0" collapsed="false">
      <c r="A4" s="11" t="s">
        <v>261</v>
      </c>
      <c r="B4" s="11" t="s">
        <v>262</v>
      </c>
    </row>
    <row r="5" customFormat="false" ht="15" hidden="false" customHeight="false" outlineLevel="0" collapsed="false">
      <c r="A5" s="0" t="s">
        <v>19</v>
      </c>
      <c r="B5" s="0" t="n">
        <f aca="false">COUNTA(Brands!$A$2:$A$8)</f>
        <v>7</v>
      </c>
    </row>
    <row r="6" customFormat="false" ht="15" hidden="false" customHeight="false" outlineLevel="0" collapsed="false">
      <c r="A6" s="0" t="s">
        <v>20</v>
      </c>
      <c r="B6" s="0" t="n">
        <f aca="false">Positioning!$D$27</f>
        <v>7</v>
      </c>
    </row>
    <row r="7" customFormat="false" ht="15" hidden="false" customHeight="false" outlineLevel="0" collapsed="false">
      <c r="A7" s="0" t="s">
        <v>263</v>
      </c>
      <c r="B7" s="0" t="n">
        <f aca="false">Positioning!$D$32</f>
        <v>2</v>
      </c>
    </row>
    <row r="8" customFormat="false" ht="15" hidden="false" customHeight="false" outlineLevel="0" collapsed="false">
      <c r="A8" s="0" t="s">
        <v>21</v>
      </c>
      <c r="B8" s="0" t="n">
        <f aca="false">COUNTIF(Metrics!$H$4:$H$10,"Yes")</f>
        <v>1</v>
      </c>
    </row>
    <row r="9" customFormat="false" ht="15" hidden="false" customHeight="false" outlineLevel="0" collapsed="false">
      <c r="A9" s="0" t="s">
        <v>22</v>
      </c>
      <c r="B9" s="0" t="n">
        <f aca="false">'CTA Funnel'!$D$23</f>
        <v>5</v>
      </c>
    </row>
    <row r="10" customFormat="false" ht="15" hidden="false" customHeight="false" outlineLevel="0" collapsed="false">
      <c r="A10" s="0" t="s">
        <v>264</v>
      </c>
      <c r="B10" s="0" t="n">
        <f aca="false">'CTA Funnel'!$D$24</f>
        <v>3</v>
      </c>
    </row>
    <row r="11" customFormat="false" ht="15" hidden="false" customHeight="false" outlineLevel="0" collapsed="false">
      <c r="A11" s="0" t="s">
        <v>265</v>
      </c>
      <c r="B11" s="0" t="n">
        <f aca="false">'CTA Funnel'!$D$27</f>
        <v>1</v>
      </c>
    </row>
    <row r="12" customFormat="false" ht="15" hidden="false" customHeight="false" outlineLevel="0" collapsed="false">
      <c r="A12" s="0" t="s">
        <v>266</v>
      </c>
      <c r="B12" s="0" t="n">
        <f aca="false">'CTA Funnel'!$D$28</f>
        <v>4</v>
      </c>
    </row>
    <row r="13" customFormat="false" ht="15" hidden="false" customHeight="false" outlineLevel="0" collapsed="false">
      <c r="A13" s="0" t="s">
        <v>267</v>
      </c>
      <c r="B13" s="0" t="n">
        <f aca="false">'CTA Funnel'!$D$25</f>
        <v>2</v>
      </c>
    </row>
    <row r="14" customFormat="false" ht="15" hidden="false" customHeight="false" outlineLevel="0" collapsed="false">
      <c r="A14" s="0" t="s">
        <v>268</v>
      </c>
      <c r="B14" s="0" t="n">
        <f aca="false">COUNTIF(Brands!$S$2:$S$8,"Yes")</f>
        <v>6</v>
      </c>
    </row>
    <row r="15" customFormat="false" ht="15" hidden="false" customHeight="false" outlineLevel="0" collapsed="false">
      <c r="A15" s="0" t="s">
        <v>23</v>
      </c>
      <c r="B15" s="0" t="n">
        <f aca="false">COUNTIF(Brands!$U$2:$U$8,"Yes")</f>
        <v>2</v>
      </c>
    </row>
    <row r="16" customFormat="false" ht="15" hidden="false" customHeight="false" outlineLevel="0" collapsed="false">
      <c r="A16" s="0" t="s">
        <v>269</v>
      </c>
      <c r="B16" s="0" t="n">
        <f aca="false">COUNTIF(Brands!$X$2:$X$8,"Yes")</f>
        <v>4</v>
      </c>
    </row>
    <row r="17" customFormat="false" ht="15" hidden="false" customHeight="false" outlineLevel="0" collapsed="false">
      <c r="A17" s="0" t="s">
        <v>270</v>
      </c>
      <c r="B17" s="0" t="n">
        <f aca="false">COUNTIF(Brands!$O$2:$O$8,"*Clutch*")</f>
        <v>2</v>
      </c>
    </row>
    <row r="18" customFormat="false" ht="15" hidden="false" customHeight="false" outlineLevel="0" collapsed="false">
      <c r="A18" s="0" t="s">
        <v>271</v>
      </c>
      <c r="B18" s="0" t="n">
        <f aca="false">Engagement!$D$20</f>
        <v>5</v>
      </c>
    </row>
    <row r="19" customFormat="false" ht="15" hidden="false" customHeight="false" outlineLevel="0" collapsed="false">
      <c r="A19" s="0" t="s">
        <v>272</v>
      </c>
      <c r="B19" s="0" t="n">
        <f aca="false">Engagement!$D$18</f>
        <v>2</v>
      </c>
    </row>
    <row r="20" customFormat="false" ht="15" hidden="false" customHeight="false" outlineLevel="0" collapsed="false">
      <c r="A20" s="0" t="s">
        <v>256</v>
      </c>
      <c r="B20" s="0" t="n">
        <f aca="false">Metrics!B12</f>
        <v>7</v>
      </c>
    </row>
    <row r="21" customFormat="false" ht="15" hidden="false" customHeight="false" outlineLevel="0" collapsed="false">
      <c r="A21" s="0" t="s">
        <v>273</v>
      </c>
      <c r="B21" s="0" t="n">
        <f aca="false">Metrics!B13</f>
        <v>4</v>
      </c>
    </row>
    <row r="23" customFormat="false" ht="15" hidden="false" customHeight="false" outlineLevel="0" collapsed="false">
      <c r="A23" s="11" t="s">
        <v>274</v>
      </c>
      <c r="B23" s="11" t="s">
        <v>275</v>
      </c>
      <c r="C23" s="11" t="s">
        <v>276</v>
      </c>
      <c r="D23" s="11" t="s">
        <v>277</v>
      </c>
      <c r="E23" s="11" t="s">
        <v>278</v>
      </c>
      <c r="F23" s="11" t="s">
        <v>279</v>
      </c>
    </row>
    <row r="24" customFormat="false" ht="28.35" hidden="false" customHeight="false" outlineLevel="0" collapsed="false">
      <c r="A24" s="6" t="s">
        <v>280</v>
      </c>
      <c r="B24" s="6" t="str">
        <f aca="false">$B$6&amp;"/"&amp;$B$5&amp;" headlines lead with AI; only "&amp;$B$7&amp;"/"&amp;$B$5&amp;" name a vertical."</f>
        <v>7/7 headlines lead with AI; only 2/7 name a vertical.</v>
      </c>
      <c r="C24" s="6" t="s">
        <v>281</v>
      </c>
      <c r="D24" s="6" t="s">
        <v>282</v>
      </c>
      <c r="E24" s="6" t="s">
        <v>283</v>
      </c>
      <c r="F24" s="6" t="s">
        <v>284</v>
      </c>
    </row>
    <row r="25" customFormat="false" ht="28.35" hidden="false" customHeight="false" outlineLevel="0" collapsed="false">
      <c r="A25" s="6" t="s">
        <v>285</v>
      </c>
      <c r="B25" s="6" t="str">
        <f aca="false">$B$8&amp;"/"&amp;$B$5&amp;" brands publish any rate; the rest hide pricing behind a quote."</f>
        <v>1/7 brands publish any rate; the rest hide pricing behind a quote.</v>
      </c>
      <c r="C25" s="6" t="s">
        <v>286</v>
      </c>
      <c r="D25" s="6" t="s">
        <v>287</v>
      </c>
      <c r="E25" s="6" t="s">
        <v>288</v>
      </c>
      <c r="F25" s="6" t="s">
        <v>289</v>
      </c>
    </row>
    <row r="26" customFormat="false" ht="28.35" hidden="false" customHeight="false" outlineLevel="0" collapsed="false">
      <c r="A26" s="6" t="s">
        <v>290</v>
      </c>
      <c r="B26" s="6" t="str">
        <f aca="false">$B$9&amp;"/"&amp;$B$5&amp;" push a call/consult CTA and "&amp;$B$10&amp;"/"&amp;$B$5&amp;" an estimate; only "&amp;$B$11&amp;"/"&amp;$B$5&amp;" offer an NDA-first step."</f>
        <v>5/7 push a call/consult CTA and 3/7 an estimate; only 1/7 offer an NDA-first step.</v>
      </c>
      <c r="C26" s="6" t="s">
        <v>291</v>
      </c>
      <c r="D26" s="6" t="s">
        <v>292</v>
      </c>
      <c r="E26" s="6" t="s">
        <v>293</v>
      </c>
      <c r="F26" s="6" t="s">
        <v>294</v>
      </c>
    </row>
    <row r="27" customFormat="false" ht="28.35" hidden="false" customHeight="false" outlineLevel="0" collapsed="false">
      <c r="A27" s="6" t="s">
        <v>295</v>
      </c>
      <c r="B27" s="6" t="str">
        <f aca="false">$B$14&amp;"/"&amp;$B$5&amp;" show case studies, but only "&amp;$B$15&amp;"/"&amp;$B$5&amp;" show whitepapers and "&amp;$B$16&amp;"/"&amp;$B$5&amp;" a podcast or newsletter."</f>
        <v>6/7 show case studies, but only 2/7 show whitepapers and 4/7 a podcast or newsletter.</v>
      </c>
      <c r="C27" s="6" t="s">
        <v>296</v>
      </c>
      <c r="D27" s="6" t="s">
        <v>297</v>
      </c>
      <c r="E27" s="6" t="s">
        <v>298</v>
      </c>
      <c r="F27" s="6" t="s">
        <v>299</v>
      </c>
    </row>
    <row r="28" customFormat="false" ht="28.35" hidden="false" customHeight="false" outlineLevel="0" collapsed="false">
      <c r="A28" s="6" t="s">
        <v>300</v>
      </c>
      <c r="B28" s="6" t="str">
        <f aca="false">"Industries listed per firm range from "&amp;MIN(Metrics!$B$4:$B$10)&amp;" to "&amp;MAX(Metrics!$B$4:$B$10)&amp;" (median "&amp;$B$20&amp;"); "&amp;$B$7&amp;"/"&amp;$B$5&amp;" headline a single vertical."</f>
        <v>Industries listed per firm range from 4 to 31 (median 7); 2/7 headline a single vertical.</v>
      </c>
      <c r="C28" s="6" t="s">
        <v>301</v>
      </c>
      <c r="D28" s="6" t="s">
        <v>302</v>
      </c>
      <c r="E28" s="6" t="s">
        <v>303</v>
      </c>
      <c r="F28" s="6" t="s">
        <v>304</v>
      </c>
    </row>
    <row r="29" customFormat="false" ht="28.35" hidden="false" customHeight="false" outlineLevel="0" collapsed="false">
      <c r="A29" s="6" t="s">
        <v>305</v>
      </c>
      <c r="B29" s="6" t="str">
        <f aca="false">$B$17&amp;"/"&amp;$B$5&amp;" cite a Clutch rating; partner badges per firm (median "&amp;Metrics!B14&amp;")."</f>
        <v>2/7 cite a Clutch rating; partner badges per firm (median 4).</v>
      </c>
      <c r="C29" s="6" t="s">
        <v>306</v>
      </c>
      <c r="D29" s="6" t="s">
        <v>307</v>
      </c>
      <c r="E29" s="6" t="s">
        <v>308</v>
      </c>
      <c r="F29" s="6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2026-10-12T04:45:00Z</dcterms:created>
  <dc:creator>openpyxl</dc:creator>
  <dc:description/>
  <dc:language>en-US</dc:language>
  <cp:lastModifiedBy/>
  <dcterms:modified xsi:type="dcterms:W3CDTF">2026-10-12T04:45:02Z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